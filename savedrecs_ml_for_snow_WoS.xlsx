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cmbreen/Documents/snow/snow_AI_paper/manuscript/submission_package/"/>
    </mc:Choice>
  </mc:AlternateContent>
  <xr:revisionPtr revIDLastSave="0" documentId="13_ncr:1_{A93FBA0E-AE67-4541-8AF8-ABA144715814}" xr6:coauthVersionLast="47" xr6:coauthVersionMax="47" xr10:uidLastSave="{00000000-0000-0000-0000-000000000000}"/>
  <bookViews>
    <workbookView xWindow="-15620" yWindow="-21000" windowWidth="20100" windowHeight="20020" activeTab="4" xr2:uid="{03960F10-8CEF-5940-856F-17E219A6E517}"/>
  </bookViews>
  <sheets>
    <sheet name="initial_search" sheetId="1" r:id="rId1"/>
    <sheet name="snowball" sheetId="2" r:id="rId2"/>
    <sheet name="merged_clean" sheetId="6" r:id="rId3"/>
    <sheet name="Figure 1" sheetId="10" r:id="rId4"/>
    <sheet name="Figure 2" sheetId="11" r:id="rId5"/>
    <sheet name="Figure 4" sheetId="9" r:id="rId6"/>
  </sheets>
  <definedNames>
    <definedName name="_xlnm._FilterDatabase" localSheetId="2" hidden="1">merged_clean!$A$1:$V$108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1" l="1"/>
  <c r="C4" i="11"/>
  <c r="C5" i="11"/>
  <c r="C6" i="11"/>
  <c r="C7" i="11"/>
  <c r="C8" i="11"/>
  <c r="C9" i="11"/>
  <c r="C2" i="11"/>
  <c r="C14" i="11"/>
  <c r="C15" i="11"/>
  <c r="C16" i="11"/>
  <c r="C17" i="11"/>
  <c r="C18" i="11"/>
  <c r="C19" i="11"/>
  <c r="C20" i="11"/>
  <c r="C13" i="11"/>
  <c r="B21" i="11"/>
  <c r="B20" i="11"/>
  <c r="B19" i="11"/>
  <c r="B18" i="11"/>
  <c r="B17" i="11"/>
  <c r="B16" i="11"/>
  <c r="B15" i="11"/>
  <c r="B14" i="11"/>
  <c r="B13" i="11"/>
  <c r="B3" i="11" a="1"/>
  <c r="B3" i="11" s="1"/>
  <c r="B5" i="11" a="1"/>
  <c r="B5" i="11" s="1"/>
  <c r="B9" i="11" a="1"/>
  <c r="B9" i="11" s="1"/>
  <c r="B8" i="11" a="1"/>
  <c r="B8" i="11" s="1"/>
  <c r="B7" i="11" a="1"/>
  <c r="B7" i="11" s="1"/>
  <c r="B6" i="11" a="1"/>
  <c r="B6" i="11" s="1"/>
  <c r="B4" i="11" a="1"/>
  <c r="B4" i="11" s="1"/>
  <c r="B2" i="11" a="1"/>
  <c r="B2" i="11" s="1"/>
  <c r="B9" i="10"/>
  <c r="B8" i="10"/>
  <c r="B7" i="10"/>
  <c r="B6" i="10"/>
  <c r="B5" i="10"/>
  <c r="B4" i="10"/>
  <c r="B3" i="10"/>
  <c r="B2" i="10"/>
  <c r="M14" i="9"/>
  <c r="L14" i="9"/>
  <c r="K14" i="9"/>
  <c r="J14" i="9"/>
  <c r="J12" i="9"/>
  <c r="K12" i="9"/>
  <c r="L12" i="9"/>
  <c r="M12" i="9"/>
  <c r="J13" i="9"/>
  <c r="K13" i="9"/>
  <c r="L13" i="9"/>
  <c r="M13" i="9"/>
  <c r="K11" i="9"/>
  <c r="L11" i="9"/>
  <c r="M11" i="9"/>
  <c r="J11" i="9"/>
  <c r="J10" i="9"/>
  <c r="M10" i="9"/>
  <c r="L10" i="9"/>
  <c r="K10" i="9"/>
  <c r="J6" i="9"/>
  <c r="K6" i="9"/>
  <c r="L6" i="9"/>
  <c r="M6" i="9"/>
  <c r="J7" i="9"/>
  <c r="K7" i="9"/>
  <c r="L7" i="9"/>
  <c r="M7" i="9"/>
  <c r="J8" i="9"/>
  <c r="K8" i="9"/>
  <c r="L8" i="9"/>
  <c r="M8" i="9"/>
  <c r="J9" i="9"/>
  <c r="K9" i="9"/>
  <c r="L9" i="9"/>
  <c r="M9" i="9"/>
  <c r="K5" i="9"/>
  <c r="L5" i="9"/>
  <c r="M5" i="9"/>
  <c r="J5" i="9"/>
  <c r="BT162" i="2"/>
  <c r="BT161" i="2"/>
  <c r="BF161" i="2"/>
  <c r="BT160" i="2"/>
  <c r="BF160" i="2"/>
  <c r="BT159" i="2"/>
  <c r="BT158" i="2"/>
  <c r="BF158" i="2"/>
  <c r="BT157" i="2"/>
  <c r="BT156" i="2"/>
  <c r="BT155" i="2"/>
  <c r="BT154" i="2"/>
  <c r="BT153" i="2"/>
  <c r="BF153" i="2"/>
  <c r="BT152" i="2"/>
  <c r="BF152" i="2"/>
  <c r="BT151" i="2"/>
  <c r="BT150" i="2"/>
  <c r="BF150" i="2"/>
  <c r="BT149" i="2"/>
  <c r="BF149" i="2"/>
  <c r="BT148" i="2"/>
  <c r="BT147" i="2"/>
  <c r="BF147" i="2"/>
  <c r="BT146" i="2"/>
  <c r="BF146" i="2"/>
  <c r="BT145" i="2"/>
  <c r="BT144" i="2"/>
  <c r="BF144" i="2"/>
  <c r="BT143" i="2"/>
  <c r="BF143" i="2"/>
  <c r="BT142" i="2"/>
  <c r="BF142" i="2"/>
  <c r="BT141" i="2"/>
  <c r="BF141" i="2"/>
  <c r="BT140" i="2"/>
  <c r="BF140" i="2"/>
  <c r="BT139" i="2"/>
  <c r="BT138" i="2"/>
  <c r="BF138" i="2"/>
  <c r="BT137" i="2"/>
  <c r="BF137" i="2"/>
  <c r="BT136" i="2"/>
  <c r="BF136" i="2"/>
  <c r="BT135" i="2"/>
  <c r="BF135" i="2"/>
  <c r="BT134" i="2"/>
  <c r="BF134" i="2"/>
  <c r="BT133" i="2"/>
  <c r="BF133" i="2"/>
  <c r="BT132" i="2"/>
  <c r="BF132" i="2"/>
  <c r="BT131" i="2"/>
  <c r="BF131" i="2"/>
  <c r="BT130" i="2"/>
  <c r="BF130" i="2"/>
  <c r="BT129" i="2"/>
  <c r="BF129" i="2"/>
  <c r="BT128" i="2"/>
  <c r="BF128" i="2"/>
  <c r="BT127" i="2"/>
  <c r="BF127" i="2"/>
  <c r="BT126" i="2"/>
  <c r="BF126" i="2"/>
  <c r="BT125" i="2"/>
  <c r="BF125" i="2"/>
  <c r="BT124" i="2"/>
  <c r="BF124" i="2"/>
  <c r="BT123" i="2"/>
  <c r="BF123" i="2"/>
  <c r="BT122" i="2"/>
  <c r="BF122" i="2"/>
  <c r="BT121" i="2"/>
  <c r="BF121" i="2"/>
  <c r="BT120" i="2"/>
  <c r="BF120" i="2"/>
  <c r="BT119" i="2"/>
  <c r="BF119" i="2"/>
  <c r="BT118" i="2"/>
  <c r="BT117" i="2"/>
  <c r="BF117" i="2"/>
  <c r="BT116" i="2"/>
  <c r="BF116" i="2"/>
  <c r="BT115" i="2"/>
  <c r="BF115" i="2"/>
  <c r="BT114" i="2"/>
  <c r="BF114" i="2"/>
  <c r="BT113" i="2"/>
  <c r="BF113" i="2"/>
  <c r="BT112" i="2"/>
  <c r="BF112" i="2"/>
  <c r="BT111" i="2"/>
  <c r="BF111" i="2"/>
  <c r="BT110" i="2"/>
  <c r="BF110" i="2"/>
  <c r="BT109" i="2"/>
  <c r="BF109" i="2"/>
  <c r="BT108" i="2"/>
  <c r="BF108" i="2"/>
  <c r="BT107" i="2"/>
  <c r="BF107" i="2"/>
  <c r="BT106" i="2"/>
  <c r="BF106" i="2"/>
  <c r="BT105" i="2"/>
  <c r="BF105" i="2"/>
  <c r="BT104" i="2"/>
  <c r="BF104" i="2"/>
  <c r="BT103" i="2"/>
  <c r="BF103" i="2"/>
  <c r="BT102" i="2"/>
  <c r="BF102" i="2"/>
  <c r="BT101" i="2"/>
  <c r="BF101" i="2"/>
  <c r="BT100" i="2"/>
  <c r="BF100" i="2"/>
  <c r="BT99" i="2"/>
  <c r="BF99" i="2"/>
  <c r="BT98" i="2"/>
  <c r="BF98" i="2"/>
  <c r="BT97" i="2"/>
  <c r="BF97" i="2"/>
  <c r="BT96" i="2"/>
  <c r="BF96" i="2"/>
  <c r="BT95" i="2"/>
  <c r="BF95" i="2"/>
  <c r="BT94" i="2"/>
  <c r="BF94" i="2"/>
  <c r="BT93" i="2"/>
  <c r="BF93" i="2"/>
  <c r="BT92" i="2"/>
  <c r="BF92" i="2"/>
  <c r="BT91" i="2"/>
  <c r="BF91" i="2"/>
  <c r="BT90" i="2"/>
  <c r="BF90" i="2"/>
  <c r="BT89" i="2"/>
  <c r="BF89" i="2"/>
  <c r="BT88" i="2"/>
  <c r="BF88" i="2"/>
  <c r="BT87" i="2"/>
  <c r="BF87" i="2"/>
  <c r="BT86" i="2"/>
  <c r="BF86" i="2"/>
  <c r="BT85" i="2"/>
  <c r="BF85" i="2"/>
  <c r="BT84" i="2"/>
  <c r="BF84" i="2"/>
  <c r="BT83" i="2"/>
  <c r="BF83" i="2"/>
  <c r="BT82" i="2"/>
  <c r="BF82" i="2"/>
  <c r="BT81" i="2"/>
  <c r="BF81" i="2"/>
  <c r="BT80" i="2"/>
  <c r="BF80" i="2"/>
  <c r="BT79" i="2"/>
  <c r="BF79" i="2"/>
  <c r="BT78" i="2"/>
  <c r="BF78" i="2"/>
  <c r="BT77" i="2"/>
  <c r="BF77" i="2"/>
  <c r="BT76" i="2"/>
  <c r="BF76" i="2"/>
  <c r="BT75" i="2"/>
  <c r="BF75" i="2"/>
  <c r="BT74" i="2"/>
  <c r="BF74" i="2"/>
  <c r="BT73" i="2"/>
  <c r="BF73" i="2"/>
  <c r="BT72" i="2"/>
  <c r="BF72" i="2"/>
  <c r="BT71" i="2"/>
  <c r="BF71" i="2"/>
  <c r="BT70" i="2"/>
  <c r="BF70" i="2"/>
  <c r="BT69" i="2"/>
  <c r="BF69" i="2"/>
  <c r="BT68" i="2"/>
  <c r="BF68" i="2"/>
  <c r="BT67" i="2"/>
  <c r="BF67" i="2"/>
  <c r="BT66" i="2"/>
  <c r="BF66" i="2"/>
  <c r="BT65" i="2"/>
  <c r="BF65" i="2"/>
  <c r="BT64" i="2"/>
  <c r="BF64" i="2"/>
  <c r="BT63" i="2"/>
  <c r="BF63" i="2"/>
  <c r="BT62" i="2"/>
  <c r="BF62" i="2"/>
  <c r="BT61" i="2"/>
  <c r="BF61" i="2"/>
  <c r="BT60" i="2"/>
  <c r="BF60" i="2"/>
  <c r="BT59" i="2"/>
  <c r="BF59" i="2"/>
  <c r="BT58" i="2"/>
  <c r="BF58" i="2"/>
  <c r="BT57" i="2"/>
  <c r="BF57" i="2"/>
  <c r="BT56" i="2"/>
  <c r="BF56" i="2"/>
  <c r="BT55" i="2"/>
  <c r="BF55" i="2"/>
  <c r="BT54" i="2"/>
  <c r="BF54" i="2"/>
  <c r="BT53" i="2"/>
  <c r="BF53" i="2"/>
  <c r="BT52" i="2"/>
  <c r="BF52" i="2"/>
  <c r="BT51" i="2"/>
  <c r="BF51" i="2"/>
  <c r="BT50" i="2"/>
  <c r="BF50" i="2"/>
  <c r="BT49" i="2"/>
  <c r="BF49" i="2"/>
  <c r="BT48" i="2"/>
  <c r="BF48" i="2"/>
  <c r="BT47" i="2"/>
  <c r="BF47" i="2"/>
  <c r="BT46" i="2"/>
  <c r="BF46" i="2"/>
  <c r="BT45" i="2"/>
  <c r="BF45" i="2"/>
  <c r="BT44" i="2"/>
  <c r="BF44" i="2"/>
  <c r="BT43" i="2"/>
  <c r="BF43" i="2"/>
  <c r="BT42" i="2"/>
  <c r="BF42" i="2"/>
  <c r="BT41" i="2"/>
  <c r="BF41" i="2"/>
  <c r="BT40" i="2"/>
  <c r="BF40" i="2"/>
  <c r="BT39" i="2"/>
  <c r="BF39" i="2"/>
  <c r="BT38" i="2"/>
  <c r="BF38" i="2"/>
  <c r="BT37" i="2"/>
  <c r="BF37" i="2"/>
  <c r="BT36" i="2"/>
  <c r="BF36" i="2"/>
  <c r="BT35" i="2"/>
  <c r="BF35" i="2"/>
  <c r="BT34" i="2"/>
  <c r="BF34" i="2"/>
  <c r="BT33" i="2"/>
  <c r="BF33" i="2"/>
  <c r="BT32" i="2"/>
  <c r="BF32" i="2"/>
  <c r="BT31" i="2"/>
  <c r="BF31" i="2"/>
  <c r="BT30" i="2"/>
  <c r="BF30" i="2"/>
  <c r="BT29" i="2"/>
  <c r="BF29" i="2"/>
  <c r="BT28" i="2"/>
  <c r="BF28" i="2"/>
  <c r="BT27" i="2"/>
  <c r="BF27" i="2"/>
  <c r="BT26" i="2"/>
  <c r="BF26" i="2"/>
  <c r="BT25" i="2"/>
  <c r="BF25" i="2"/>
  <c r="BT24" i="2"/>
  <c r="BF24" i="2"/>
  <c r="BT23" i="2"/>
  <c r="BF23" i="2"/>
  <c r="BT22" i="2"/>
  <c r="BF22" i="2"/>
  <c r="BT21" i="2"/>
  <c r="BF21" i="2"/>
  <c r="BT20" i="2"/>
  <c r="BF20" i="2"/>
  <c r="BT19" i="2"/>
  <c r="BF19" i="2"/>
  <c r="BT18" i="2"/>
  <c r="BF18" i="2"/>
  <c r="BT17" i="2"/>
  <c r="BF17" i="2"/>
  <c r="BT16" i="2"/>
  <c r="BF16" i="2"/>
  <c r="BT15" i="2"/>
  <c r="BF15" i="2"/>
  <c r="BT14" i="2"/>
  <c r="BF14" i="2"/>
  <c r="BT13" i="2"/>
  <c r="BF13" i="2"/>
  <c r="BT12" i="2"/>
  <c r="BF12" i="2"/>
  <c r="BT11" i="2"/>
  <c r="BF11" i="2"/>
  <c r="BT10" i="2"/>
  <c r="BF10" i="2"/>
  <c r="BT9" i="2"/>
  <c r="BF9" i="2"/>
  <c r="BT8" i="2"/>
  <c r="BF8" i="2"/>
  <c r="BT7" i="2"/>
  <c r="BF7" i="2"/>
  <c r="BT6" i="2"/>
  <c r="BF6" i="2"/>
  <c r="BT5" i="2"/>
  <c r="BF5" i="2"/>
  <c r="BT4" i="2"/>
  <c r="BF4" i="2"/>
  <c r="BT3" i="2"/>
  <c r="BF3" i="2"/>
  <c r="BT2" i="2"/>
  <c r="BF2" i="2"/>
  <c r="BF2" i="1"/>
  <c r="BT2" i="1"/>
  <c r="BF3" i="1"/>
  <c r="BT3" i="1"/>
  <c r="BF4" i="1"/>
  <c r="BT4" i="1"/>
  <c r="BF5" i="1"/>
  <c r="BT5" i="1"/>
  <c r="BF6" i="1"/>
  <c r="BT6" i="1"/>
  <c r="BF7" i="1"/>
  <c r="BT7" i="1"/>
  <c r="BF8" i="1"/>
  <c r="BT8" i="1"/>
  <c r="BF9" i="1"/>
  <c r="BT9" i="1"/>
  <c r="BF10" i="1"/>
  <c r="BT10" i="1"/>
  <c r="BF11" i="1"/>
  <c r="BT11" i="1"/>
  <c r="BF12" i="1"/>
  <c r="BT12" i="1"/>
  <c r="BF13" i="1"/>
  <c r="BT13" i="1"/>
  <c r="BF14" i="1"/>
  <c r="BT14" i="1"/>
  <c r="BF15" i="1"/>
  <c r="BT15" i="1"/>
  <c r="BF16" i="1"/>
  <c r="BT16" i="1"/>
  <c r="BF17" i="1"/>
  <c r="BT17" i="1"/>
  <c r="BF18" i="1"/>
  <c r="BT18" i="1"/>
  <c r="BF19" i="1"/>
  <c r="BT19" i="1"/>
  <c r="BF20" i="1"/>
  <c r="BT20" i="1"/>
  <c r="BF21" i="1"/>
  <c r="BT21" i="1"/>
  <c r="BF22" i="1"/>
  <c r="BT22" i="1"/>
  <c r="BF23" i="1"/>
  <c r="BT23" i="1"/>
  <c r="BF24" i="1"/>
  <c r="BT24" i="1"/>
  <c r="BF25" i="1"/>
  <c r="BT25" i="1"/>
  <c r="BF26" i="1"/>
  <c r="BT26" i="1"/>
  <c r="BF27" i="1"/>
  <c r="BT27" i="1"/>
  <c r="BF28" i="1"/>
  <c r="BT28" i="1"/>
  <c r="BF29" i="1"/>
  <c r="BT29" i="1"/>
  <c r="BF30" i="1"/>
  <c r="BT30" i="1"/>
  <c r="BF31" i="1"/>
  <c r="BT31" i="1"/>
  <c r="BF32" i="1"/>
  <c r="BT32" i="1"/>
  <c r="BF33" i="1"/>
  <c r="BT33" i="1"/>
  <c r="BF34" i="1"/>
  <c r="BT34" i="1"/>
  <c r="BF35" i="1"/>
  <c r="BT35" i="1"/>
  <c r="BF36" i="1"/>
  <c r="BT36" i="1"/>
  <c r="BF37" i="1"/>
  <c r="BT37" i="1"/>
  <c r="BF38" i="1"/>
  <c r="BT38" i="1"/>
  <c r="BF39" i="1"/>
  <c r="BT39" i="1"/>
  <c r="BF40" i="1"/>
  <c r="BT40" i="1"/>
  <c r="BF41" i="1"/>
  <c r="BT41" i="1"/>
  <c r="BF42" i="1"/>
  <c r="BT42" i="1"/>
  <c r="BF43" i="1"/>
  <c r="BT43" i="1"/>
  <c r="BF44" i="1"/>
  <c r="BT44" i="1"/>
  <c r="BF45" i="1"/>
  <c r="BT45" i="1"/>
  <c r="BF46" i="1"/>
  <c r="BT46" i="1"/>
  <c r="BF47" i="1"/>
  <c r="BT47" i="1"/>
  <c r="BF48" i="1"/>
  <c r="BT48" i="1"/>
  <c r="BF49" i="1"/>
  <c r="BT49" i="1"/>
  <c r="BF50" i="1"/>
  <c r="BT50" i="1"/>
  <c r="BF51" i="1"/>
  <c r="BT51" i="1"/>
  <c r="BF52" i="1"/>
  <c r="BT52" i="1"/>
  <c r="BF53" i="1"/>
  <c r="BT53" i="1"/>
  <c r="BF54" i="1"/>
  <c r="BT54" i="1"/>
  <c r="BF55" i="1"/>
  <c r="BT55" i="1"/>
  <c r="BF56" i="1"/>
  <c r="BT56" i="1"/>
  <c r="BF57" i="1"/>
  <c r="BT57" i="1"/>
  <c r="BF58" i="1"/>
  <c r="BT58" i="1"/>
  <c r="BF59" i="1"/>
  <c r="BT59" i="1"/>
  <c r="BF60" i="1"/>
  <c r="BT60" i="1"/>
  <c r="BF61" i="1"/>
  <c r="BT61" i="1"/>
  <c r="BF62" i="1"/>
  <c r="BT62" i="1"/>
  <c r="BF63" i="1"/>
  <c r="BT63" i="1"/>
  <c r="BF64" i="1"/>
  <c r="BT64" i="1"/>
  <c r="BF65" i="1"/>
  <c r="BT65" i="1"/>
  <c r="BF66" i="1"/>
  <c r="BT66" i="1"/>
  <c r="BF67" i="1"/>
  <c r="BT67" i="1"/>
  <c r="BF68" i="1"/>
  <c r="BT68" i="1"/>
  <c r="BF69" i="1"/>
  <c r="BT69" i="1"/>
  <c r="BF70" i="1"/>
  <c r="BT70" i="1"/>
  <c r="BF71" i="1"/>
  <c r="BT71" i="1"/>
  <c r="BF72" i="1"/>
  <c r="BT72" i="1"/>
  <c r="BF73" i="1"/>
  <c r="BT73" i="1"/>
  <c r="BF74" i="1"/>
  <c r="BT74" i="1"/>
  <c r="BF75" i="1"/>
  <c r="BT75" i="1"/>
  <c r="BF76" i="1"/>
  <c r="BT76" i="1"/>
  <c r="BF77" i="1"/>
  <c r="BT77" i="1"/>
  <c r="BF78" i="1"/>
  <c r="BT78" i="1"/>
  <c r="BF79" i="1"/>
  <c r="BT79" i="1"/>
  <c r="BT80" i="1"/>
  <c r="BT81" i="1"/>
  <c r="BT82" i="1"/>
  <c r="BF83" i="1"/>
  <c r="BT83" i="1"/>
  <c r="BF84" i="1"/>
  <c r="BT84" i="1"/>
  <c r="BT85" i="1"/>
  <c r="B10" i="1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<sst xmlns="http://schemas.openxmlformats.org/spreadsheetml/2006/main" count="17949" uniqueCount="2602">
  <si>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</si>
  <si>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</si>
  <si>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</si>
  <si>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</si>
  <si>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</si>
  <si>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</si>
  <si>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</si>
  <si>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</si>
  <si>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</si>
  <si>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</si>
  <si>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</si>
  <si>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</si>
  <si>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</si>
  <si>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</si>
  <si>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</si>
  <si>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</si>
  <si>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</si>
  <si>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</si>
  <si>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</si>
  <si>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</si>
  <si>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</si>
  <si>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</si>
  <si>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</si>
  <si>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</si>
  <si>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</si>
  <si>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</si>
  <si>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</si>
  <si>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</si>
  <si>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</si>
  <si>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</si>
  <si>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</si>
  <si>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</si>
  <si>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</si>
  <si>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</si>
  <si>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</si>
  <si>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</si>
  <si>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</si>
  <si>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</si>
  <si>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</si>
  <si>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</si>
  <si>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</si>
  <si>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</si>
  <si>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</si>
  <si>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</si>
  <si>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</si>
  <si>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</si>
  <si>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</si>
  <si>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</si>
  <si>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</si>
  <si>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</si>
  <si>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</si>
  <si>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</si>
  <si>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</si>
  <si>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</si>
  <si>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</si>
  <si>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</si>
  <si>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</si>
  <si>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</si>
  <si>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</si>
  <si>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</si>
  <si>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</si>
  <si>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</si>
  <si>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</si>
  <si>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</si>
  <si>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</si>
  <si>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</si>
  <si>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</si>
  <si>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</si>
  <si>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</si>
  <si>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</si>
  <si>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</si>
  <si>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</si>
  <si>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</si>
  <si>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Li, X; Xu, F; Zhang, C; Che, T; Dai, LY; Zhang, YL</t>
  </si>
  <si>
    <t/>
  </si>
  <si>
    <t>Li, Xuan; Xu, Fan; Zhang, Chen; Che, Tao; Dai, Liyun; Zhang, Yanli</t>
  </si>
  <si>
    <t>Estimation of snow depth from AMSR-2 based on an AutoML method over the Qinghai-Tibet Plateau</t>
  </si>
  <si>
    <t>CRYOSPHERE</t>
  </si>
  <si>
    <t>Snow depth is a crucial parameter for describing the spatiotemporal variations of snow cover, and passive microwave snow depth products (10-25 km) are widely used for monitoring snow depth changes. However, as one of the three major snow-covered regions in China, the Qinghai-Tibet Plateau has complex terrain and rapid changes in snow cover with strong spatial heterogeneity, making it difficult for coarse-resolution snow depth products to accurately describe its spatiotemporal characteristics. This study proposes a high spatial resolution (500 m) snow depth estimation method based on the Advanced Microwave Scanning Radiometer 2 (AMSR-2) brightness temperature data and Automated Machine Learning. Firstly, using Pearson correlation coefficients, 19 key factors influencing snow depth, including AMSR-2 brightness temperature, slope, and surface roughness, were selected as input data (independent variables) for Automated Machine Learning. Meanwhile, passive microwave downscaled snow depth data and ground-based snow depth measurements were introduced as dependent variables for Automated Machine Learning. The Automated Machine Learning model was then trained separately for four different types of snow cover surfaces (forest, grassland, water, and bare land). Finally, through ten-fold cross-validation, the optimal machine learning model for snow depth estimation under each type of underlying surface coverage was selected, thus generating sequential snow depth datasets for the ten-year snow cover period of the Qinghai-Tibet Plateau from 2012 to 2021. Results show that (1) the estimated snow depth values well with ground-based observations, yielding a coefficient of determination (R-2) of 0.71 and a root mean square error (RMSE) of 3.64 cm, indicating high estimation accuracy. (2) Snow depth estimation demonstrates the highest accuracy in unused land (CatBoost, R-2 = 0.82), followed by grassland (CatBoost, R-2 = 0.77, RMSE = 3.11 cm), water (ET, R-2 = 0.75, RMSE = 2.20 cm), and forest (XGBoost, R-2 = 0.71, RMSE = 3.30 cm). (3) A comparison with snow cover extent derived from Landsat-8 optical imagery reveals that the estimated snow depth spatial distribution is consistent with snow cover extent, providing reliable data for monitoring snow cover changes in mountainous regions.</t>
  </si>
  <si>
    <t>1994-0416</t>
  </si>
  <si>
    <t>1994-0424</t>
  </si>
  <si>
    <t>10.5194/tc-20-2977-2026</t>
  </si>
  <si>
    <t>MAY 2026</t>
  </si>
  <si>
    <t>WOS:001772482400001</t>
  </si>
  <si>
    <t>Ying, JJ; Yang, JW; Jiang, LM; Pan, JM; Xiong, C</t>
  </si>
  <si>
    <t>Ying, Jiajie; Yang, Jianwei; Jiang, Lingmei; Pan, Jinmei; Xiong, Chuan</t>
  </si>
  <si>
    <t>Scale patterns of the Sentinel-1 SAR-based snow depth product compared with station measurements and airborne LiDAR observations</t>
  </si>
  <si>
    <t>Water storage in snowpacks in mountainous areas is critical for hydropower production, hydrological forecasting, and freshwater availability. Spaceborne synthetic aperture radar (SAR) is a powerful tool for quantitatively measuring snow mass because of its high spatial resolution and signal sensitivity to snow depth (SD). In particular, the first SAR SD product (C-snow) based on Sentinel-1 satellites displays high sensitivity to depolarization signals for dynamic SD monitoring in mountainous areas. Moreover, upscaled C-snow retrievals (e.g., 10 and 25 km) have been used to provide reference data to train machine learning models, improve passive microwave-based retrieval, and calibrate many hydrological models. However, to date, a systematic assessment of C-snow products at various scales has not been conducted. In this study, the performance of C-snow products at three scales (1, 10 and 25 km) is compared via station-based measurements and airborne LiDAR observations, and the scale patterns associated with the heterogeneity of the geographic environment and the representativeness of so-called true data are analyzed. The scale patterns of C-snow products vary across resolutions. They differ from the patterns observed in the station and airborne reference data. As the spatial scale increases from 1 to 25 km, the error of C-snow retrieval in reference to station measurements tends to increase (e.g., ubRMSE from 69.43 to 81.87 cm; bias from -8.89 to 11.66 cm), whereas it tends to decrease compared with Airborne Snow Observatory (ASO) data, with ubRMSE values ranging from 104.3 to 83.29 cm and bias values ranging from -91.31 to -52.73 cm. We also found that land cover types, e.g., tree cover and permanent ice, affect the C-snow product at various scales. Overestimation tends to occur in coarse pixels covered with even a small amount of permanent ice. The findings indicate that C-snow retrieval at three scales is characterized by high uncertainty. Therefore, researchers should focus on developing a robust SD retrieval algorithm by combining SAR backscattering signals and polarimetric and interferometric information.</t>
  </si>
  <si>
    <t>; Jiang, Lingmei/L-6099-2016</t>
  </si>
  <si>
    <t>熊, 川/0000-0001-9164-4810;</t>
  </si>
  <si>
    <t>JAN 14</t>
  </si>
  <si>
    <t>10.5194/tc-20-227-2026</t>
  </si>
  <si>
    <t>WOS:001660928400001</t>
  </si>
  <si>
    <t>Bai, YN; Li, Z; Zhang, P; Zeng, JY; Huang, L; Qiao, HW; Gao, S; Hu, HD</t>
  </si>
  <si>
    <t>Bai, Yanan; Li, Zhen; Zhang, Ping; Zeng, Jiangyuan; Huang, Lei; Qiao, Haiwei; Gao, Shuo; Hu, Huadong</t>
  </si>
  <si>
    <t>A Snow Depth Retrieval Method Based on Super-Resolution Brightness Temperature Reconstruction and Multimodal Feature Synergy</t>
  </si>
  <si>
    <t>IEEE TRANSACTIONS ON GEOSCIENCE AND REMOTE SENSING</t>
  </si>
  <si>
    <t>Snow plays a critical role in the hydrological ecosystem of the Tibetan Plateau (TP), influencing both regional water availability and climate dynamics. Passive microwave remote sensing is a powerful tool for large-scale continuous snow depth (SD) monitoring, yet the low spatial resolution and saturation limitation of brightness temperature (TB) make it difficult for a single passive microwave dataset to address the challenges posed by the complex topography and fragmented snow distribution on the TP. To address this issue, an area-to-point downscaled daily SD retrieval method that accounts for spatial heterogeneity was proposed in this study using multimodal remote sensing data. First, we developed a new algorithm to reconstruct the high-resolution TB from Advanced Microwave Scanning Radiometer 2 (AMSR2), considering the effects of snow and land cover types. The recursive feature elimination (RFE) was used to select the optimal subset of features, including active and passive remote sensing information, meteorological data, and geographic factors, and then a multimodal feature-driven convolutional neural network (CNN)-long short-term memory network (LSTM) was used to retrieve daily 500-m SD data. The method effectively captures the dynamic spatial variation features of SD. The validation of the proposed TB reconstruction downscaling method using the enhanced-resolution TB data showed the RMSE ranged from 2.65 to 6.81 K at different frequencies. The contribution of multimodal features was analyzed based on SHapley Additive exPlanations (SHAP) values. Snow cover accumulation (SCA), H-pol TB at 89 GHz, and latitude were key features, although the relative contributions of these features varied significantly across different environments. In the site-based independent validation, the RMSE of the proposed method was 2.33 cm, demonstrating better accuracy than existing SD retrieval methods in the TP. The use of multimodal features improved accuracy by 1.67 cm (41.7%) compared to passive microwave features only. The proposed SD retrieval algorithm can obtain high-resolution and high-precision SD information, thereby supporting water resource management and climate change monitoring over the TP.</t>
  </si>
  <si>
    <t>Zeng, Jiangyuan/AAJ-8512-2020</t>
  </si>
  <si>
    <t>0196-2892</t>
  </si>
  <si>
    <t>1558-0644</t>
  </si>
  <si>
    <t>10.1109/TGRS.2026.3653456</t>
  </si>
  <si>
    <t>WOS:001708259200007</t>
  </si>
  <si>
    <t>Li, YX; Huang, XD; Ma, Y; Zhang, YH; Guo, QH; Liang, TG</t>
  </si>
  <si>
    <t>Li, Yuxin; Huang, Xiaodong; Ma, Ying; Zhang, Yonghui; Guo, Qianhao; Liang, Tiangang</t>
  </si>
  <si>
    <t>Persistent Reduction in Snow Mass Over China: Evidence From 40 Years of Satellite Observations</t>
  </si>
  <si>
    <t>Snow water equivalent (SWE) serves as a key parameter for assessing snow hydrology, climate regulation, and water resource management. Despite its critical role, high spatiotemporal resolution SWE datasets remain limited, particularly for vast and topographically diverse regions such as China. Here, we present an innovative daily, 500-m resolution SWE dataset spanning 1980-2020 across China, developed through multisource remote sensing data fusion and machine learning (ML)-based downscaling. This dataset overcomes the spatiotemporal constraints inherent in conventional passive microwave (PMW) SWE retrievals. Validation with ground-based measurements yields an root mean square error (RMSE) of 10.85 mm, demonstrating its enhanced accuracy relative to existing products. Analysis of the dataset reveals a clear seasonal snow mass cycle in China, with a four-decade daily mean of 2.05 x 0(10) m(3) and peak values reaching 6.90 x 10(10) m(3) in January or February. Longitudinal trends indicate a significant and persistent decline in snow mass accumulation from 1980 to 2020. Furthermore, spatial variability analysis highlights marked regional differences in SWE trends during the snow season. This study advances the understanding of snow cover dynamics over China, offering a robust, highresolution SWE dataset with applications in snow hydrology, climate change studies, and water resource planning.</t>
  </si>
  <si>
    <t>MA, Ying/KIB-0165-2024</t>
  </si>
  <si>
    <t>10.1109/TGRS.2026.3658511</t>
  </si>
  <si>
    <t>WOS:001683260800023</t>
  </si>
  <si>
    <t>Brodylo, D; Bosche, LV; Busby, RR; Deeb, EJ; Douglas, TA; Lemmetyinen, J</t>
  </si>
  <si>
    <t>Brodylo, David; Bosche, Lauren V.; Busby, Ryan R.; Deeb, Elias J.; Douglas, Thomas A.; Lemmetyinen, Juha</t>
  </si>
  <si>
    <t>Object-based ensemble estimation of snow depth and snow water equivalent over multiple months in Sodankylä, Finland</t>
  </si>
  <si>
    <t>Snowpack characteristics such as snow depth and snow water equivalent (SWE) are widely studied in regions prone to heavy snowfall and long winters. These features are measured in the field via manual or automated observations and over larger spatial scales with stand-alone remote sensing methods. However, individually these methods may struggle with accurately assessing snow depth and SWE in local spatial scales of several square kilometers. One method for leveraging the benefits of each individual dataset is to link field-based observations with high-resolution remote sensing imagery and then employ machine learning techniques to estimate snow depth and SWE across a broader geographic region. Here, we combined field-based repeat snow depth and SWE measurements over six instances from December 2022 to April 2023 in Sodankyl &amp; auml;, Finland with Light Detection and Ranging (LiDAR) and WorldView-2 (WV-2) data to estimate snow depth, SWE, and snow density over a 10 km2 local scale study area. This was achieved with an object-based machine learning ensemble approach by first upscaling more numerous snow depth field data and then utilizing the estimated local scale snow depth to aid in estimating SWE over the study area. Snow density was then calculated from snow depth and SWE estimates. Snow depth peaked in March, SWE shortly after in early April, and snow density at the end of April. The ensemble-based approach had encouraging success with upscaling snow depth and SWE. Associations were also identified with carbon- and mineral-based forest surface soils, alongside dry and wet peatbogs.</t>
  </si>
  <si>
    <t>Lemmetyinen, Juha/B-3739-2016; Brodylo, David/KVY-5799-2024</t>
  </si>
  <si>
    <t>Lemmetyinen, Juha/0000-0003-4434-9696; Brodylo, David/0000-0002-0331-2398</t>
  </si>
  <si>
    <t>NOV 24</t>
  </si>
  <si>
    <t>10.5194/tc-19-6127-2025</t>
  </si>
  <si>
    <t>WOS:001620513000001</t>
  </si>
  <si>
    <t>Kumawat, D; Ebtehaj, A; Kumar, S; Colliander, A</t>
  </si>
  <si>
    <t>Kumawat, Divya; Ebtehaj, Ardeshir; Kumar, Sujay; Colliander, Andreas</t>
  </si>
  <si>
    <t>Deep learning of seasonal peak snow water content of global boreal forest and arctic using spaceborne L-band radiometry</t>
  </si>
  <si>
    <t>REMOTE SENSING OF ENVIRONMENT</t>
  </si>
  <si>
    <t>Estimating peak snow water equivalent (SWE) across the Northern Hemisphere is critical for assessing seasonal water availability for both ecosystems and human needs. This study is the first to demonstrate a direct link between peak SWE and the temporal variability of L-band surface emission under a moderately dense vegetation canopy. We introduce SWEFormer, a novel deep transformer neural network that retrieves peak SWE primarily using time series of L-band brightness temperatures from NASA's Soil Moisture Active and Passive (SMAP) satellite. The model is trained using an incremental learning approach that transfers low-level information from reanalysis data for spatially coherent high-level learning from sparse in situ observations. SWEFormer outperforms leading global products, including ERA5, GlobSnow, and AMSR-based estimates, particularly in complex boreal watersheds, where previous global SWE estimates suffer from significant uncertainties, as vegetation canopy often markedly attenuates high-frequency microwave signatures of snowpack.</t>
  </si>
  <si>
    <t>Kumar, Sujay/B-8142-2015; Colliander, Andreas/M-9864-2018; Kumawat, Divya/NAX-6725-2025</t>
  </si>
  <si>
    <t>Kumawat, Divya/0000-0002-7150-3954</t>
  </si>
  <si>
    <t>0034-4257</t>
  </si>
  <si>
    <t>1879-0704</t>
  </si>
  <si>
    <t>DEC 1</t>
  </si>
  <si>
    <t>10.1016/j.rse.2025.114963</t>
  </si>
  <si>
    <t>AUG 2025</t>
  </si>
  <si>
    <t>WOS:001561289100003</t>
  </si>
  <si>
    <t>Demil, G; Haghighi, AT; Klove, B; Oussalah, M</t>
  </si>
  <si>
    <t>Demil, Getnet; Haghighi, Ali Torabi; Klove, Bjorn; Oussalah, Mourad</t>
  </si>
  <si>
    <t>Seeing through the clouds: enhanced snow and cloud segmentation in sentinel-2 imagery with mDeepLabV3+</t>
  </si>
  <si>
    <t>EARTH SCIENCE INFORMATICS</t>
  </si>
  <si>
    <t>The application of satellite-based remote sensing has become increasingly prominent in snow hydrology parameter estimation, owing to its cost-efficiency, frequent revisit times, and broad spatial coverage. However, the presence of clouds introduces significant obstacles by obscuring features in optical satellite imagery. Differentiating snow from clouds remains challenging due to their similar color profiles and reflective properties. Conventional approaches, including manual thresholding, traditional machine learning techniques, and advanced deep learning models such as Convolutional Neural Networks (CNNs) and U-Net, have achieved only moderate success, despite remote sensing imagery's rich spatial and spectral data. To address this, we propose a novel deep-learning framework for classifying background, snow, and cloud regions in multispectral satellite imagery, based on a modified DeepLabV3+ architecture. Our approach incorporates an elevated dilation rate of 24 and leverages cross-domain transfer learning with ResNet-50 and ResNet-101 as backbone networks. Additionally, we utilized the Random Forest algorithm to evaluate the significance of spectral band features and support the semantic segmentation process. We also explored the impact of different input band combinations to determine the optimal configuration. Notably, the combination of Blue (Band 2), Short-Wave Infrared (Band 11), Red (Band 4), and Water Vapor (Band 9) with the ResNet-101 backbone outperformed all other tested configurations. This study provides a detailed assessment of the segmentation capabilities of modified DeepLabV3+ (mDeepLabV3+) models, using ResNet-50 (R50) and ResNet-101 (R101) backbones, on Sentinel-2 imagery for distinguishing cloud, snow, and background classes. Performance was benchmarked against established models, including Random Forest (RF), U-Net, and UCTNet, across various band combinations. Our results reveal that the mDeepLabV3+ model with the R50 backbone achieves exceptional precision (99.9%), F1 score (98.0%), and mean Intersection over Union (mIOU) of 91.13%, while the R101 variant excels in recall (97.8%) and overall accuracy (96.78%). These outcomes highlight the superior performance and reliability of the mDeepLabV3+ models for Sentinel-2 image segmentation. This work presents a robust and domain-adapted approach for snow and cloud segmentation in Sentinel-2 imagery, demonstrating improved accuracy over existing baselines. This thorough analysis offers critical insights into the efficacy of deep learning in such tasks, emphasizing opportunities for further refinement and practical implementation.</t>
  </si>
  <si>
    <t>; Haghighi, Ali/AAE-6862-2021</t>
  </si>
  <si>
    <t>Demil, Getnet/0009-0006-5158-0895;</t>
  </si>
  <si>
    <t>1865-0473</t>
  </si>
  <si>
    <t>1865-0481</t>
  </si>
  <si>
    <t>JUL 28</t>
  </si>
  <si>
    <t>10.1007/s12145-025-01950-6</t>
  </si>
  <si>
    <t>WOS:001538089500001</t>
  </si>
  <si>
    <t>Cui, YR; Chen, SX; Mo, GQ; Ji, DB; Lv, LS; Fu, J</t>
  </si>
  <si>
    <t>Cui, Yurong; Chen, Sixuan; Mo, Guiquan; Ji, Dabin; Lv, Lansong; Fu, Juan</t>
  </si>
  <si>
    <t>Snow Depth Retrieval Using Sentinel-1 Radar Data: A Comparative Analysis of Random Forest and Support Vector Machine Models with Simulated Annealing Optimization</t>
  </si>
  <si>
    <t>REMOTE SENSING</t>
  </si>
  <si>
    <t>Snow plays a crucial role in global climate regulation, hydrological processes, and environmental change, making the accurate acquisition of snow depth data highly significant. In this study, we used Sentinel-1 radar data and employed a simulated annealing algorithm to select the optimal influencing factors from radar backscatter characteristics and spatiotemporal geographical parameters within the study area. Snow depth retrieval was subsequently performed using both random forest (RF) and Support Vector Machine (SVM) models. The retrieval results were validated against in situ measurements and compared with the long-term daily snow depth dataset of China for the period 2017-2019. The results indicate that the RF model achieves better agreement with the measured data than existing snow depth products. Specifically, in the Xinjiang region, the RF model demonstrates superior performance, with an R2 of 0.92, a root mean square error (RMSE) of 2.61 cm, and a mean absolute error (MAE) of 1.42 cm. In contrast, the SVM regression model shows weaker agreement with the observations, with an R2 lower than that of the existing snow depth product (0.51) in Xinjiang, and it performs poorly in other regions as well. Overall, the SVM model exhibits deficiencies in both predictive accuracy and spatial stability. This study provides a valuable reference for snow depth retrieval research based on active microwave remote sensing techniques.</t>
  </si>
  <si>
    <t>Ji, Dabin/ADL-7793-2022</t>
  </si>
  <si>
    <t>姬, 大彬/0000-0001-6388-2555</t>
  </si>
  <si>
    <t>2072-4292</t>
  </si>
  <si>
    <t>JUL 24</t>
  </si>
  <si>
    <t>10.3390/rs17152584</t>
  </si>
  <si>
    <t>WOS:001549552300001</t>
  </si>
  <si>
    <t>Ying, J; Yang, J; Jiang, L; Pan, J; Zhang, C; Xiong, C; Shi, J</t>
  </si>
  <si>
    <t>Ying, J. J.; Yang, J. W.; Jiang, L. M.; Pan, J. M.; Zhang, C.; Xiong, C.; Shi, J. C.</t>
  </si>
  <si>
    <t>Evaluation of the Sentinel-1 SAR-based snow depth product over the Northern Hemisphere</t>
  </si>
  <si>
    <t>JOURNAL OF HYDROLOGY</t>
  </si>
  <si>
    <t>Active microwave remote sensing techniques, especially synthetic aperture radar (SAR), are valid tools for monitoring snow depth (SD) because of their high spatial resolution and day-night all-weather monitoring. The first SAR (C-band)-based SD product (C-snow), which covers all mountain ranges in the Northern Hemisphere, has been used as a reference dataset in many applications, such as building SD retrieval algorithms, acting as training samples for machine learning models, and improving passive microwave-based retrievals. However, the performance of the C-snow dataset over the Northern Hemisphere is unknown and remains to be evaluated. In this study, we integrated several ground-based SD datasets and also collected airborne lidar surveys (ASO) to assess the accuracy of C-snow SD retrievals. Moreover, we quantitatively analyzed the influence of various factors, such as landscape, terrain, dry/wet state, etc., on the SD retrievals. The results revealed that compared with ground-based SD measurements, the overall unbiased root mean square error (ubRMSE) and bias values of C-snow in the Northern Hemisphere ranged from 60.98 to 68.18 cm and-22.93 to-9.81 cm, respectively, with correlation coefficients ranging from 0.52 to 0.58. Compared with the ASO observations, the ubRMSE and bias were 107.2 cm and-91.72 cm, respectively. The performances of the C-snow product exhibited spatial differences due to the topography (elevation, terrain slope, and undulation), landcover types (especially ice and forest), wet snow and availability of time series Sentinel-1 observations (affecting the C-snow retrieval algorithm). Moreover, C-snow retrievals tend to underestimate the SD in the late snow season annually because of the decreasing snow index (SI) caused by wet snow or snow metamorphism, although the SD still increases. The performance analysis in this study will be useful for determining the dominant factors impacting SD retrievals, evaluating and building SD retrieval models, and understanding the spatiotemporal distribution and changes in snowpack in mountains.</t>
  </si>
  <si>
    <t>施, 建成/0000-0002-6163-2912; Jiang, Lingmei/0000-0002-9847-9034</t>
  </si>
  <si>
    <t>0022-1694</t>
  </si>
  <si>
    <t>1879-2707</t>
  </si>
  <si>
    <t>NOV</t>
  </si>
  <si>
    <t>A</t>
  </si>
  <si>
    <t>10.1016/j.jhydrol.2025.133593</t>
  </si>
  <si>
    <t>JUN 2025</t>
  </si>
  <si>
    <t>WOS:001504904400002</t>
  </si>
  <si>
    <t>Kesikoglu, MH</t>
  </si>
  <si>
    <t>Kesikoglu, Mustafa Hayri</t>
  </si>
  <si>
    <t>Enhancing Snow Detection through Deep Learning: Evaluating CNN Performance Against Machine Learning and Unsupervised Classification Methods</t>
  </si>
  <si>
    <t>WATER RESOURCES MANAGEMENT</t>
  </si>
  <si>
    <t>Snow cover is a crucial natural water resource that provides water storage. Monitoring snow cover is essential for sustainable water resource management. Accurate and efficient snow cover mapping is vital for water resource planning, flood control, and climate impact assessments. Remote sensing provides a cost-effective approach for monitoring snow cover dynamics, but classification accuracy remains a challenge. This study introduces a deep learning-based 1D convolutional neural network (1D CNN) approach for improved snow cover classification in mountainous regions utilizing Landsat 5 and 8 satellite images. The effectiveness of 1D CNN was compared with unsupervised classification (UC) methods (Normalized Difference Snow Index (NDSI), band ratio-based Red/Short wave infrared (R/SWIR), and Near infrared/Short wave infrared (NIR/SWIR)) and supervised machine learning classification methods (support vector machines (SVM) and classification and regression trees (CART)) in this research. The study was performed on Erciyes Mountain, Turkey, across four different years. Classifier performances were assessed using various quantitative (precision, recall, F-score, overall accuracy, kappa) and qualitative (mean squared error, Pearson correlation coefficient, structural similarity index measure, peak signal-to-noise ratio) evaluation metrics. Pairwise statistical analysis using McNemar's test revealed significant differences between 1D CNN and the other classifiers. The findings demonstrated that the 1D CNN approach outperformed all other methods in achieving the highest accuracy in snow cover classification. These results indicate the potential of deep learning for enhancing snow cover assessment and supporting more effective water resource management strategies and policy-making.</t>
  </si>
  <si>
    <t>Kesikoglu, Mustafa Hayri/AAL-1358-2020</t>
  </si>
  <si>
    <t>Kesikoglu, Mustafa Hayri/0000-0001-5199-0815</t>
  </si>
  <si>
    <t>0920-4741</t>
  </si>
  <si>
    <t>1573-1650</t>
  </si>
  <si>
    <t>SEP</t>
  </si>
  <si>
    <t>10.1007/s11269-025-04240-4</t>
  </si>
  <si>
    <t>MAY 2025</t>
  </si>
  <si>
    <t>WOS:001489326400001</t>
  </si>
  <si>
    <t>Bai, YN; Li, Z; Zhang, P; Huang, L; Gao, S; Qiao, HW; Liu, C; Liang, S; Hu, HD</t>
  </si>
  <si>
    <t>Bai, Yanan; Li, Zhen; Zhang, Ping; Huang, Lei; Gao, Shuo; Qiao, Haiwei; Liu, Chang; Liang, Shuang; Hu, Huadong</t>
  </si>
  <si>
    <t>High-resolution snow depth retrieval by passive microwave based on linear unmixing and machine learning stacking technique</t>
  </si>
  <si>
    <t>INTERNATIONAL JOURNAL OF APPLIED EARTH OBSERVATION AND GEOINFORMATION</t>
  </si>
  <si>
    <t>Accurate measurement of high-resolution snow depth (SD) is crucial for regional ecohydrology and climate studies. Passive microwave remote sensing is an effective technique for SD retrieval on global or regional scales. However, its low spatial resolution limits its application in various fields. Additionally, the complex effects of multiple factors in the microwave radiation process pose a significant challenge for accurate SD retrieval as SD increases. In this study, a high-resolution SD retrieval algorithm for passive microwave data was developed based on the linear unmixing method and machine learning (ML) stacking technique. Firstly, the 0.25 degrees AMSR2 brightness temperature data were downscaled to 0.01 degrees through linear unmixing. Then, combining the temporal and spatial features of the snowpack, the high-resolution SD was retrieved based on the ML stacking technique. This method combined the advantages of multiple base models for retrieving different depths of snow, which effectively improved the overall estimation performance of the algorithm. Compared with in situ observed SD at meteorological stations and field observation SD, the algorithm achieved an overall RMSE of 5.25 cm, which was lower than that of other coarse-resolution SD datasets and products, including the long-term series of daily SD dataset in China (7.40 cm), the ERA5-Land (9.71 cm), and JAXA AMSR2 Level 2 SD products (12.59 cm). Especially, it reduced the estimation error of deep snow with a depth exceeding 30 cm by 20.3 %, 21.5 %, and 24.9 %, respectively.</t>
  </si>
  <si>
    <t>Liu, Chang/JCN-7173-2023</t>
  </si>
  <si>
    <t>, lizhen/0000-0003-3491-0697</t>
  </si>
  <si>
    <t>1569-8432</t>
  </si>
  <si>
    <t>1872-826X</t>
  </si>
  <si>
    <t>APR</t>
  </si>
  <si>
    <t>10.1016/j.jag.2025.104467</t>
  </si>
  <si>
    <t>APR 2025</t>
  </si>
  <si>
    <t>WOS:001447293400001</t>
  </si>
  <si>
    <t>Wei, YL; Li, XF; Gu, LJ; Zheng, ZJ; Zheng, XM; Jiang, T</t>
  </si>
  <si>
    <t>Wei, Yanlin; Li, Xiaofeng; Gu, Lingjia; Zheng, Zhaojun; Zheng, Xingming; Jiang, Tao</t>
  </si>
  <si>
    <t>Snow depth inversion and mapping at 500 m resolution from 1980 to 2020 in Northeast China using radiative transfer model and machine learning</t>
  </si>
  <si>
    <t>Accurate snow cover parameter assessment and mapping at a fine resolution can have profound implications for our understanding of the planet's water balance and energy dynamics. Passive microwave (PMW) remote sensing is among the most effective methods for snow depth (SD) retrieval. However, significant uncertainties persist in SD retrieval and mapping due to snow characteristic variations, forest canopy interference, and low spatial resolution of PMW. To overcome these limitations, a novel method considering multiple influencing factors was proposed by integration a radiation transfer model with a machine learning model for SD retrieval, and a 500 m resolution SD dataset (NCSD) was generated for 1980-2020 in Northeast China by combining downscaling model. The validation against independent ground observations revealed that the MAE, RMSE, and R values for NCSD were 4.39 cm, 6.65 cm and 0.77, respectively. Compared to existing SD products, NCSD data effectively avoid mixed pixel issues, improved SD retrieval performance, and reveal more refined snow cover spatiotemporal patterns. Additionally, the NCSD results indicated that the annual average SD in Northeast China exhibited an increasing trend from 1980 to 2020 (0.26 cm/10a, p &gt; 0.05). However, a notable inflection point occurred in 2000, and a subsequent decreasing trend occurred from 2000 to 2020 (0.49 cm/10a, p &gt; 0.05). Overall, the creation of NCSD effectively filled the gap related to high-resolution SD data, and facilitated the development of hydrological studies and climate change at the basin scale.</t>
  </si>
  <si>
    <t>Li, Xiaofeng/0000-0002-1799-844X; Gu, Lingjia/0000-0002-4909-2263</t>
  </si>
  <si>
    <t>MAY</t>
  </si>
  <si>
    <t>10.1016/j.jag.2025.104533</t>
  </si>
  <si>
    <t>WOS:001471822100001</t>
  </si>
  <si>
    <t>Goodarzi, MR; Barzkar, A; Sabaghzadeh, M; Ghanbari, M; Attar, NF</t>
  </si>
  <si>
    <t>Goodarzi, Mohammad Reza; Barzkar, Ali; Sabaghzadeh, Maryam; Ghanbari, Meysam; Attar, Nasrin Fathollahzadeh</t>
  </si>
  <si>
    <t>Uncertainty Analysis of Machine Learning Methods To Estimate Snow Water Equivalent Using Meteorological and Remote Sensing Data</t>
  </si>
  <si>
    <t>A better understanding of regional water resources may help improve management of these resources. Snow is a resource that cannot be accurately measured. Research in this field has been increasing in recent years with the advancements in machine learning methods and satellite imagery. This research measured Snow Water Equivalent (SWE) using eight machine learning approaches; Furthermore, the input data used in this study are monthly. Ten meteorological parameters related to snow, and also two parameters for albedo and snow cover fraction obtained from satellite imagery from 1981 to 2022, were provided as inputs to the models. The best input combination was determined through the gamma test, and the impact percentage of each input on the result was evaluated using sensitivity analysis. The results showed that the XGBoost (XGB) method with a Nash-Sutcliffe Efficiency (NSE) coefficient of 0.99 is the best, and Ridge regression with an NSE coefficient value of 0.6486 has the worst result. The dataset was divided into 80% for training and 20% for testing. The trend of snow water equivalent (SWE) during this period was evaluated utilizing the Mann-Kendall test and Sen's slope analysis. The findings indicate a decreasing trend in SWE. The utilization of current machine learning methods helps a more precise estimation of the water volume in the region, providing improved decision-making for the management of regional water resources.</t>
  </si>
  <si>
    <t>Goodarzi, Mohammad/AAQ-3253-2020; Ghanbari, Meysam/PRR-2115-2026; Fathollahzadeh Attar, Nasrin/P-6175-2017</t>
  </si>
  <si>
    <t>Fathollahzadeh Attar, Nasrin/0000-0002-9506-452X</t>
  </si>
  <si>
    <t>JUL</t>
  </si>
  <si>
    <t>10.1007/s11269-025-04164-z</t>
  </si>
  <si>
    <t>WOS:001459610300001</t>
  </si>
  <si>
    <t>Esfahani, AG; Moradizadeh, M; Srivastava, PK</t>
  </si>
  <si>
    <t>Esfahani, Ali Ghofrani; Moradizadeh, Mina; Srivastava, Prashant K.</t>
  </si>
  <si>
    <t>Improving AMSR2-derived Snow Depth Spatial Resolution Through Synergistic Combination of Machine Learning and Random Sets Over the European Alps</t>
  </si>
  <si>
    <t>PFG-JOURNAL OF PHOTOGRAMMETRY REMOTE SENSING AND GEOINFORMATION SCIENCE</t>
  </si>
  <si>
    <t>Snow depth is a critical parameter for meteorological, climatological, and hydrological models, enhancing regional water resource information and weather prediction accuracy. AMSR2 passive microwave data with 10-kilometer spatial resolution results in high error and uncertainty in snow depth estimation. This study attempted to develop machine learning algorithms to downscale AMSR2 snow depth data to 1 kilometer spatial resolution. One of the primary factors inflicting errors in snow depth downscaling is the absence of proper identification of snow-covered area boundaries (mixed pixels), leading to extensional uncertainty. In the present study, a novel method based on the theory of random sets has been developed to resolve the issue of mixed pixels in the boundaries of snow-covered areas for the European Alps. In addition to snow cover data acquired from random sets, auxiliary data for developing and training machine learning algorithms comprises of the Digital Elevation Model (DEM), Land Surface Temperature (LST), and Land Cover Type data were processed. The machine learning algorithms employed includes Support Vector Regression (SVR), Multi-Layer Perceptron (MLP), and Random Forest (RF). The RF algorithm, when considering snow cover data derived from random sets method, confirmed the excellent performance among the SVR and MLP algorithms. Using RF, the RMSE decreased from 31.67-16.34 cm, the correlation coefficient increased from 0.312-0.81, and the relative error decreased from 9.85-0.52% (reduced error and increased accuracy). The results based on evaluation metrics indicates an outstanding performance of the proposed innovative method for downscaling of AMSR2 snow depth.</t>
  </si>
  <si>
    <t>/O-2815-2019</t>
  </si>
  <si>
    <t>2512-2789</t>
  </si>
  <si>
    <t>2512-2819</t>
  </si>
  <si>
    <t>JUN</t>
  </si>
  <si>
    <t>10.1007/s41064-025-00338-x</t>
  </si>
  <si>
    <t>WOS:001459026000001</t>
  </si>
  <si>
    <t>Demil, G; Haghighi, AT; Klöve, B; Oussalah, M</t>
  </si>
  <si>
    <t>Advances in image-based estimation of snow variable: A systematic literature review on recent studies</t>
  </si>
  <si>
    <t>Accurately estimating snow hydrology parameters, including snow coverage mapping and snow depth, plays a significant role in comprehending water resource dynamics, flood forecasting, and environmental management in regions influenced by snow cover. These parameters are critical for hydrological models that simulate snowmelt and runoff, which are essential for predicting water availability and managing water resources in snow-covered areas. Traditional methods for estimating these parameters often rely on manual measurements or simplistic models, which can be inadequate for capturing the complexity of snow-related processes. In recent years, there has been a growing interest in leveraging deep learning techniques for snow hydrology parameter estimation, offering the potential to overcome these limitations. This review paper comprehensively analyzes the current state, challenges, and future directions of image-based approaches in snow hydrology parameter estimation. By harnessing the power of automated methods, particularly deep learning, these approaches demonstrate the ability to capture intricate spatial and temporal relationships present in image data. A comparative analysis on image-based methods highlights the strengths of automated approaches, including scalability and accuracy. Integration of image sensors, such as satellite imagery and crowd-sourced data, is explored as a crucial component of snow hydrology parameter estimation. Various satellite image sources, including Sentinel 1-2, Landsat, and Moderate Resolution Imaging Spectroradiometer (MODIS), are discussed in terms of their suitability for snow hydrological applications. Despite the promise of image-based approaches, challenges remain, including data availability, model interpretability, and transferability. The paper identifies future research directions, emphasizing the exploration of novel deep learning architectures and uncertainty quantification techniques to address these challenges. In conclusion, this review underscores the importance of image-based approaches for advancing snow hydrology parameter estimation. By addressing challenges and maximizing potential impact, these approaches have the potential to revolutionize snow hydrological modeling and environmental management.</t>
  </si>
  <si>
    <t>Klöve, Björn/0000-0002-2353-1440; Demil, Getnet/0009-0006-5158-0895; Oussalah, Mourad/0000-0002-4422-8723</t>
  </si>
  <si>
    <t>10.1016/j.jhydrol.2025.132855</t>
  </si>
  <si>
    <t>FEB 2025</t>
  </si>
  <si>
    <t>WOS:001433637500001</t>
  </si>
  <si>
    <t>Tanniru, S; Singh, DK; Singh, KK; Ramsankaran, R</t>
  </si>
  <si>
    <t>Tanniru, Srinivasarao; Singh, Dhiraj Kumar; Singh, Kamal Kant; Ramsankaran, Raaj</t>
  </si>
  <si>
    <t>Exploring Machine Learning's Potential for Estimating High Resolution Daily Snow Depth in Western Himalaya Using Passive Microwave Remote Sensing Data Sets</t>
  </si>
  <si>
    <t>EARTH AND SPACE SCIENCE</t>
  </si>
  <si>
    <t>Snow depth (SD) exhibits high spatiotemporal heterogeneity in Western Himalaya (WH), and its knowledge is essential for applications related to water resources, disaster management, climate, etc. However, due to inclement weather and rugged topographical conditions, only a sparse network of SD monitoring stations exists in WH. Spaceborne passive microwave (PMW) remote sensing data sets provides valuable information about SD; however, only a limited PMW SD studies that cover subregions of WH are available. Different machine learning (ML) methods viz. support vector machine, random forest, and Extremely Randomized Trees (ERT) were tested for estimating SD. Based on our preliminary assessment of these ML approaches, the current study utilizes ERT approach to estimate daily SD over the entire WH region. The ERT SD model is developed using PMW brightness temperature data sets from Advanced Microwave Scanning Radiometer-2 (AMSR-2), snow cover duration (SCD), and other auxiliary parameters (i.e., location, elevation, vegetation cover, etc.) during the winter period between 2012-2013 and 2019-2020. The data between 2012-2013 and 2017-2018 is used for training the model, whereas the data between 2018-2019 and 2019-2020 is used for testing the model. The results demonstrate: (a) The ERT SD model has shown improved SD estimates compared to the available PMW remote sensing-based operational SD products and empirical PMW SD models. (b) In general, with an increase in SD, the mean absolute error of SD retrievals has increased in all SD products/models. (c) Unlike the operational AMSR2 SD product, and Northern Hemisphere Machine Learning SD product, the ERT SD model retrievals have shown better consistency with MODIS snow cover. (d) The developed model has shown a wider range in SD retrievals as compared to other products considered in this study.</t>
  </si>
  <si>
    <t>Tanniru, Srinivasarao/F-1862-2013; Ramsankaran, RAAJ/B-9198-2008</t>
  </si>
  <si>
    <t>Ramsankaran, RAAJ/0000-0001-8602-1934</t>
  </si>
  <si>
    <t>2333-5084</t>
  </si>
  <si>
    <t>FEB 12</t>
  </si>
  <si>
    <t>e2024EA003849</t>
  </si>
  <si>
    <t>10.1029/2024EA003849</t>
  </si>
  <si>
    <t>WOS:001467218000001</t>
  </si>
  <si>
    <t>Hu, HH; He, L; Hui, FM; Cheng, X; Zheng, ZJ; Che, T; Chen, ZQ</t>
  </si>
  <si>
    <t>Hu, Haihan; He, Lian; Hui, Fengming; Cheng, Xiao; Zheng, Zhaojun; Che, Tao; Chen, Zhuoqi</t>
  </si>
  <si>
    <t>Snow Cover Mapping From Chinese Geostationary Meteorological Satellite FY-2F VISSR-II Data Using Random Forest Classifier</t>
  </si>
  <si>
    <t>IEEE JOURNAL OF SELECTED TOPICS IN APPLIED EARTH OBSERVATIONS AND REMOTE SENSING</t>
  </si>
  <si>
    <t>Accurate monitoring of snow cover is essential for understanding climate dynamics and supporting hydrological and environmental management. The Fengyun-2F (FY-2F) satellite is one of China's first geostationary meteorological satellites, equipped with the Stretched Visible and Infrared Spin Scan Radiometer-II (VISSR-II), which provides moderate-resolution imagery at high temporal resolution but has only five spectral channels. To enhance the snow cover mapping capability of the FY-2F VISSR-II sensor, this study develops a novel algorithm in which multitemporal observations within a single day are first fused to generate a daily synthesis image, thereby reducing cloud contamination. Based on this synthesized image, snow cover detection is then carried out using a random forest model driven by multisource spatiotemporal features. The algorithm was rigorously evaluated against in situ snow depth observations, Landsat 8 snow cover maps, Moderate Resolution Imaging Spectroradiometer (MODIS) snow cover products, and Fengyun-4 (FY-4) A snow cover product. The results indicate strong performance of the FY-2F snow cover product, with an overall accuracy (OA) of 90.8% and an F1-score (FS) of 88.9% against in situ measurements, and an OA of 94.6% with an FS of 91.9% compared to Landsat 8 snow cover maps. When validated against the four MODIS-based reference products and FY-4 A snow cover product, the FY-2F snow cover product achieved OA values ranging from 92% to 99%. The novelty of this work lies in the effective integration of auxiliary data to compensate for the limited bands. It provides a valuable reference for snow cover mapping from early geostationary meteorological satellites with a limited number of spectral bands.</t>
  </si>
  <si>
    <t>He, Lian/AAF-3997-2020; Che, Tao/K-7136-2013</t>
  </si>
  <si>
    <t>He, Lian/0000-0002-9909-6107; Cheng, Xiao/0000-0001-6910-6565; Hu, Haihan/0009-0006-6101-6155; ZHENG, Zhaojun/0000-0002-7331-1905; Che, Tao/0000-0001-6848-7271</t>
  </si>
  <si>
    <t>1939-1404</t>
  </si>
  <si>
    <t>2151-1535</t>
  </si>
  <si>
    <t>10.1109/JSTARS.2025.3626728</t>
  </si>
  <si>
    <t>WOS:001626465700006</t>
  </si>
  <si>
    <t>C</t>
  </si>
  <si>
    <t>Kumawat, D; Ehtehaj, A</t>
  </si>
  <si>
    <t>IEEE</t>
  </si>
  <si>
    <t>Kumawat, Divya; Ehtehaj, Ardeshir</t>
  </si>
  <si>
    <t>CAN DEEP TRANSFORMERS LEARN GLOBAL PEAK SNOW WATER EQUIVALENT FROM L-BAND SURFACE EMISSIONS?</t>
  </si>
  <si>
    <t>IGARSS 2025-2025 IEEE INTERNATIONAL GEOSCIENCE AND REMOTE SENSING SYMPOSIUM</t>
  </si>
  <si>
    <t>IEEE International Symposium on Geoscience and Remote Sensing IGARSS</t>
  </si>
  <si>
    <t>2025 International Geoscience and Remote Sensing Symposium-IGARSS-Annual</t>
  </si>
  <si>
    <t>AUG 03-08, 2025</t>
  </si>
  <si>
    <t>Brisbane, AUSTRALIA</t>
  </si>
  <si>
    <t>Institute of Electrical and Electronics Engineers Inc</t>
  </si>
  <si>
    <t>The seasonal peak snow water equivalent (SWEp) is a key parameter for spring streamflow prediction, hydroelectricity generation, drought management, and ecosystem productivity. For the first time, this study proposes a novel methodology for estimating SWEp through learning from the coincident time series of L-band brightness temperature (TB) from the Soil Moisture Active Passive (SMAP) satellite (inputs) as well as reanalysis data and ground-based observations (outputs). This approach uses a deep transformer neural network, leveraging dynamic and static predictors through a multi-head self-attention mechanism, called SWEFormer. This methodology is enriched by the concept of transfer learning that incrementally learns and combines the information content of ERA5 reanalysis data with sparse ground observations, addressing data limitations and improving accuracy. Validation against in situ observations shows promising performance metrics with root mean squared error, bias, and coefficient of determination of 65.76 mm, 21.77 mm, and 0.65, nearly three times better than ERA5 estimates. Unlike methodologies relying on higher microwave frequencies with a low-penetration depth in vegetated areas, SWEFormer provides a robust, all-weather solution for SWEp estimation, supporting ecosystem modeling in high-latitude watersheds and boreal forest regions, where the human population relies on snowmelt-driven spring streamflow.</t>
  </si>
  <si>
    <t>Kumawat, Divya/NAX-6725-2025</t>
  </si>
  <si>
    <t>2153-6996</t>
  </si>
  <si>
    <t>979-8-3315-0811-1; 979-8-3315-0810-4</t>
  </si>
  <si>
    <t>10.1109/IGARSS55030.2025.11242584</t>
  </si>
  <si>
    <t>WOS:001697407700156</t>
  </si>
  <si>
    <t>Yan, YC; Qin, Y; Liu, YQ; Qiu, YB; Liu, Y</t>
  </si>
  <si>
    <t>Yan, Yongchang; Qin, Yan; Liu, Yongqiang; Qiu, Yubao; Liu, Yang</t>
  </si>
  <si>
    <t>Estimation of Moderate-Resolution Snow Depth in Xinjiang With Enhanced-Resolution Passive Microwave and Reanalysis Data by Machine Learning Methods</t>
  </si>
  <si>
    <t>The integration of multisource data into the passive microwave retrieval of snow depth (SD) is vital for accurately capturing large-scale distribution of SD. However, the exiting SD retrieval algorithms overlook the impact of snow characteristics on brightness temperature, leading to inadequate representation of SD in complex regions. Therefore, this study constructs and optimizes SD retrieval models using four machine learning algorithms, including extreme gradient boosting (XGBoost), light gradient-boosting machine (LightGBM), categorical boosting (CatBoost), and random forest (RF) combing enhanced-resolution passive microwave data. A variety of variables are integrated into the models, encompassing geolocation, topographic indices, land cover, and snow characteristics (fractional snow cover, snow density, and snow grain size) sourced from ERA5-land reanalysis data. This approach focuses on accurately estimating the spatiotemporal distribution of SD over Xinjiang, characterized by dry-cold snow. The results indicate that First, upon incorporating auxiliary variables, the SD from the CatBoost model demonstrated superior performances over the other algorithms ($R&lt;^&gt;{2}$: CatBoost &gt; LightGBM &gt; XGBoost &gt; RF). Second, the SD product from the CatBoost model exhibits interannual fluctuations. It slightly overestimates shallow snow (SD &lt; 20 cm) and underestimates deep snow (SD &gt; 20 cm). Third, the SD product reveals the spatial differentiation. Areas in northern Xinjiang with high value for SD (SD &gt; 20 cm) are mainly distributed in the Tianshan Mountains and Altai Mountains. In contrast, the southern Xinjiang with high value for SD (SD &gt; 10 cm) is largely clustered in the high-elevation regions surrounding the Kunlun Mountains. The findings highlight that employing this approach can lead to the establishment of valuable long-term SD datasets for capturing SD distribution.</t>
  </si>
  <si>
    <t>; Qiu, Yubao/P-8103-2016</t>
  </si>
  <si>
    <t>邱, 玉宝/0000-0003-1313-6313; Yan, Yongchang/0009-0003-2667-5778;</t>
  </si>
  <si>
    <t>10.1109/JSTARS.2025.3562216</t>
  </si>
  <si>
    <t>WOS:001484675600007</t>
  </si>
  <si>
    <t>Zheng, YF; Jiang, LM; Pan, FB</t>
  </si>
  <si>
    <t>Zheng, Yifei; Jiang, Lingmei; Pan, Fangbo</t>
  </si>
  <si>
    <t>An Improved AVHRR Fractional Snow Cover Mapping Algorithm Using MODIS Observations Combined with Time-Scale Decomposition</t>
  </si>
  <si>
    <t>Long-term fractional snow cover (FSC) data is a critical input for hydrological, climatic, and energy balance models, making its monitoring essential for understanding global climate and hydrological processes. AVHRR, as a unique long-term remote sensing sensor, provides valuable snow cover data, but its low spatial resolution and limited spectral bands present challenges for accurate snow cover retrieval. To overcome these challenges, this study proposes an improved AVHRR FSC mapping algorithm by combining time-scale decomposition with XG Boost, using MODIS observations to enhance spatial resolution and accuracy. The model generates AVHRR FSC products with 500 m resolution, significantly improving FSC accuracy compared to the original AVHRR data, with RMSE reduced from 0.196 to 0.107. These results highlight the potential of AVHRR in long-term snow cover monitoring and the benefit of combining machine learning and higher-resolution data.</t>
  </si>
  <si>
    <t>Jiang, Lingmei/L-6099-2016; Pan, Fangbo/IQU-2803-2023</t>
  </si>
  <si>
    <t>10.1109/IGARSS55030.2025.11243237</t>
  </si>
  <si>
    <t>WOS:001697407700498</t>
  </si>
  <si>
    <t>Liu, Y; Yang, JM; Chen, X; Yao, JQ; Li, LH; Qiu, YB</t>
  </si>
  <si>
    <t>Liu, Yang; Yang, Jinming; Chen, Xi; Yao, Junqiang; Li, Lanhai; Qiu, Yubao</t>
  </si>
  <si>
    <t>Moderate-resolution snow depth product retrieval from passive microwave brightness data over Xinjiang using machine learning approach</t>
  </si>
  <si>
    <t>INTERNATIONAL JOURNAL OF DIGITAL EARTH</t>
  </si>
  <si>
    <t>Passive microwave (PM) remote sensing have been extensively used for snow depth (SD) estimation. However, current SD products from traditional PM data fail to capture the differentiation in mountainous and complex terrains with coarse resolution. Therefore, this study incorporates factors such as geographical location, topographic features, and land cover, along with various machine learning algorithms including Gaussian process regression (GPR), support vector machine (SVM), random forest (RF), extreme gradient boosting (XGBoost), and light gradient boosting machine (LightGBM), to construct and optimize SD estimation using enhanced-resolution PM data. The results demonstrate the following: (1)With the auxiliary variables, the SD product from LightGBM-based models exhibits the highest accuracy. (2)The performance of SD products from the LightGBM-based model varies monthly and annually, with shallow snow cover being slightly overestimated (30 cm). (3)The reliable SD product indicates spatial distribution characteristics in Xinjiang, with regions demonstrating no significant improvement being larger than those with no significant degradation. The above results illustrate the remarkable advantages of machine learning in capturing SD distribution and its spatio-temporal variation bolstered by enhanced PM data and auxiliary data.</t>
  </si>
  <si>
    <t>Li, Lanhai/AAE-9967-2020; Qiu, Yubao/P-8103-2016; yang, jinming/IWL-8395-2023</t>
  </si>
  <si>
    <t>yang, jinming/0000-0002-1843-6908</t>
  </si>
  <si>
    <t>1753-8947</t>
  </si>
  <si>
    <t>1753-8955</t>
  </si>
  <si>
    <t>DEC 31</t>
  </si>
  <si>
    <t>10.1080/17538947.2023.2299208</t>
  </si>
  <si>
    <t>WOS:001135343300001</t>
  </si>
  <si>
    <t>Yan, ZN; Ji, Q; He, B; Chen, YZ; Wang, YY; Pang, XP</t>
  </si>
  <si>
    <t>Yan, Zhongnan; Ji, Qing; He, Bin; Chen, Yizhuo; Wang, Yueyun; Pang, Xiaoping</t>
  </si>
  <si>
    <t>A combined multi-source data and deep learning approach for retrieving snow depth on Antarctic Sea ice during the melting season</t>
  </si>
  <si>
    <t>Snow on the Antarctic sea ice is a crucial component of the cryosphere. In response to the dynamic and highly heterogeneous Antarctic snow during the sea ice melting season, this study employed a combined multi-source data and deep learning method to accurately retrieve snow depth on Antarctic sea ice. Initially, we integrate multiple datasets, including satellite remote sensing, geospatial information, and meteorological data. Subsequently, a Convolutional Neural Network (CNN) is utilized to construct a snow depth retrieval model (PSDCNN-5_7 model). Compared to snow depth measurements from Alfred Wegener Institute (AWI) snow buoys, the PSDCNN-5_7 model outperforms existing algorithms, exhibiting a deviation of only -3.38 cm. The uncertainty of the snow depth caused by the model input is only 1.64 cm. In West Antarctica, snow depth is more affected by snowfall (SF), 2-m air temperature (T2m), and sea ice velocity (SIV). Conversely, in East Antarctica, snow depth is primarily influenced by SIV. The proposed approach accurately retrieves snow depth on Antarctic sea ice and facilitates the derivation of long-term variations and trends in snow depth, contributing to a better understanding of the relationship between sea ice, snow, and climate change.</t>
  </si>
  <si>
    <t>Yan, Zhongnan/JED-7970-2023</t>
  </si>
  <si>
    <t>10.1080/17538947.2024.2376260</t>
  </si>
  <si>
    <t>WOS:001270114800001</t>
  </si>
  <si>
    <t>Elyoussfi, H; Boudhar, A; Belaqziz, S; Bousbaa, M; Nifa, K; Bargam, B; Chehbouni, A</t>
  </si>
  <si>
    <t>Elyoussfi, Haytam; Boudhar, Abdelghani; Belaqziz, Salwa; Bousbaa, Mostafa; Nifa, Karima; Bargam, Bouchra; Chehbouni, Abdelghani</t>
  </si>
  <si>
    <t>Leveraging advanced deep learning and machine learning approaches for snow depth prediction using remote sensing and ground data</t>
  </si>
  <si>
    <t>JOURNAL OF HYDROLOGY-REGIONAL STUDIES</t>
  </si>
  <si>
    <t>Study regions: The study area encompasses two distinct sub-basins within the High Atlas Mountains: Oukaimeden in the Rheraya and Tichki in the Mgoun Valley. Study focus: The research integrates remote sensing data, particularly the Normalized-Difference Snow Index (NDSI) from the MODIS Sensor, with machine learning (ML) and deep learning (DL) models to predict daily snow depth (DSD) at a local scale. The models evaluated include two ML approaches: Support Vector Regression (SVR) and eXtreme Gradient Boosting (XGBoost) and four DL models: 1-Dimensional Convolutional Neural Network (1D-CNN), Long Short-Term Memory Networks (LSTM), Gated Recurrent Unit (GRU), and Bi-directional Long Short-Term Memory Network (Bi-LSTM). The dataset was processed and normalized for optimal performance, and hyperparameters were fine-tuned using a randomized search method. New hydrological insights for the region: The Results highlight the efficacy of AI-based approaches for snow depth prediction, with SVR achieving the best performance (Root Mean Square Error of 2-5 cm and an average coefficient of determination of 0.97). This study reveals that incorporating lag times of snow depth data significantly enhances predictive accuracy. These findings underscore the potential of integrating remote sensing with AI techniques to improve hydrological modeling and water resource planning in data-scarce regions like the Atlas Mountains.</t>
  </si>
  <si>
    <t>Belaqziz, Salwa/W-1992-2019; ELYOUSSFI, Haytam/MHR-0198-2025; chehbouni, abdelghani/ACN-8375-2022; BOUSBAA, Mostafa/ISS-0641-2023; BOUDHAR, Abdelghani/S-5216-2019</t>
  </si>
  <si>
    <t>Belaqziz, Salwa/0000-0001-7248-8605; ELYOUSSFI, Haytam/0000-0001-6496-7200;</t>
  </si>
  <si>
    <t>2214-5818</t>
  </si>
  <si>
    <t>FEB</t>
  </si>
  <si>
    <t>10.1016/j.ejrh.2024.102085</t>
  </si>
  <si>
    <t>DEC 2024</t>
  </si>
  <si>
    <t>WOS:001381927800001</t>
  </si>
  <si>
    <t>Ni, ZA; Yang, QQ; Yue, LW; Peng, YF; Yuan, QQ</t>
  </si>
  <si>
    <t>Ni, Zi'ang; Yang, Qianqian; Yue, Linwei; Peng, Yanfei; Yuan, Qiangqiang</t>
  </si>
  <si>
    <t>Estimating high-resolution snow depth over the North Hemisphere mountains utilizing active microwave backscatter and machine learning</t>
  </si>
  <si>
    <t>While ground meteorological stations provide accurate snow depth data, their limited spatial coverage results in observational gaps. Satellites offer long-term, large-scale observations, addressing these gaps. Existing snow depth retrieval algorithms mainly use passive microwave remote sensing data with a 25 km resolution, insufficient for capturing snow depth variability in mountainous areas. This paper introduces active microwave backscatter data and machine learning techniques for high-resolution snow depth estimation. We conducted a preliminary exploration of the relationship between Sentinel-1 backscatter coefficient sigma(0) and snow depth. Due to factors such as vegetation coverage and underlying soil properties, the relationship between sigma(0) and snow depth is complex and nonlinear. Consequently, six machine learning models were trained to learn this relationship using sigma(0) and auxiliary data as input features, with in-situ snow depth serving as the target variable. After extensive validation, the Extreme Random Trees (ERT) model was selected for its high accuracy and stability. Using the ERT model, we generated 500 m-resolution snow depth data for northern hemisphere mountains, then analyzed temporal snow depth variations and altitudinal stratification.</t>
  </si>
  <si>
    <t>; Yue, Linwei/ABD-8243-2022</t>
  </si>
  <si>
    <t>Ni, Zi'ang/0009-0004-8298-0467;</t>
  </si>
  <si>
    <t>DEC</t>
  </si>
  <si>
    <t>10.1016/j.jhydrol.2024.132203</t>
  </si>
  <si>
    <t>WOS:001756997100001</t>
  </si>
  <si>
    <t>Dunmire, D; Lievens, H; Boeykens, L; De Lannoy, GJM</t>
  </si>
  <si>
    <t>Dunmire, Devon; Lievens, Hans; Boeykens, Lucas; De Lannoy, Gabrielle J. M.</t>
  </si>
  <si>
    <t>A machine learning approach for estimating snow depth across the European Alps from Sentinel-1 imagery</t>
  </si>
  <si>
    <t>Seasonal snow plays a crucial role in society and understanding trends in snow depth and mass is essential for making informed decisions about water resources and adaptation to climate change. However, quantifying snow depth in remote, mountainous areas with complex topography remains a significant challenge. The increasing availability of high-resolution synthetic aperture radar (SAR) observations from active microwave satellites has prompted opportunistic use of the data to retrieve snow depth remotely across large spatial and frequent temporal scales and at a high spatial resolution. Nevertheless, these novel SAR-based snow depth retrieval methods face their own set of limitations, including challenges for shallow snowpacks, high vegetation cover, and wet snow conditions. In response, here we introduce a machine learning approach to enhance SAR-based snow depth estimation over the European Alps. By integrating Sentinel-1 SAR imagery, optical snow cover observations, and topographic, forest cover and snow class information, our machine learning retrieval method more accurately estimates snow depth at independent in-situ measurement sites than current methods. Further, our method provides estimates at 100 m horizontal resolution and is capable of better capturing local-scale topographydriven snow depth variability. Through detailed feature importance analysis, we identify optimal conditions for SAR data utilization, thereby providing insight into future use of C-band SAR for snow depth retrieval.</t>
  </si>
  <si>
    <t>De Lannoy, Gabrielle/C-9101-2017; Lievens, Hans/AAL-5717-2021</t>
  </si>
  <si>
    <t>De Lannoy, Gabrielle/0000-0002-6743-7122; Boeykens, Lucas/0009-0006-4365-4997; Lievens, Hans/0000-0002-6391-1691</t>
  </si>
  <si>
    <t>10.1016/j.rse.2024.114369</t>
  </si>
  <si>
    <t>AUG 2024</t>
  </si>
  <si>
    <t>WOS:001302838100001</t>
  </si>
  <si>
    <t>Meehan, TG; Hojatimalekshah, A; Marshall, HP; Deeb, EJ; O'Neel, S; McGrath, D; Webb, RW; Bonnell, R; Raleigh, MS; Hiemstra, C; Elder, K</t>
  </si>
  <si>
    <t>Meehan, Tate G.; Hojatimalekshah, Ahmad; Marshall, Hans-Peter; Deeb, Elias J.; O'Neel, Shad; McGrath, Daniel; Webb, Ryan W.; Bonnell, Randall; Raleigh, Mark S.; Hiemstra, Christopher; Elder, Kelly</t>
  </si>
  <si>
    <t>Spatially distributed snow depth, bulk density, and snow water equivalent from ground-based and airborne sensor integration at Grand Mesa, Colorado, USA</t>
  </si>
  <si>
    <t>Estimating snow mass in the mountains remains a major challenge for remote-sensing methods. Airborne lidar can retrieve snow depth, and some promising results have recently been obtained from spaceborne platforms, yet density estimates are required to convert snow depth to snow water equivalent (SWE). However, the retrieval of snow bulk density remains unsolved, and limited data are available to evaluate model estimates of density in mountainous terrain. Toward the goal of landscape-scale retrievals of snow density, we estimated bulk density and length-scale variability by combining ground-penetrating radar (GPR) two-way travel-time observations and airborne-lidar snow depths collected during the mid-winter NASA SnowEx 2020 campaign at Grand Mesa, Colorado, USA. Key advancements of our approach include an automated layer-picking method that leverages the GPR reflection coherence and the distributed lidar-GPR-retrieved bulk density with machine learning. The root-mean-square error between the distributed estimates and in situ observations is 11 cm for depth, 27 kgm-3 for density, and 46 mm for SWE. The median relative uncertainty in distributed SWE is 13 %. Interactions between wind, terrain, and vegetation display corroborated controls on bulk density that show model and observation agreement. Knowledge of the spatial patterns and predictors of density is critical for the accurate assessment of SWE and essential snow research applications. The spatially continuous snow density and SWE estimated over approximately 16 km2 may serve as necessary calibration and validation for stepping prospective remote-sensing techniques toward broad-scale SWE retrieval.</t>
  </si>
  <si>
    <t>; Raleigh, Mark/M-7687-2015; Marshall, Hans-Peter/A-2374-2010; Elder, Kelly/IZQ-5813-2023; /AGN-0726-2022; Hojatimalekshah, Ahmad/AAX-6802-2020; Webb, Ryan/X-1122-2018; Bonnell, Randall/LRU-7969-2024</t>
  </si>
  <si>
    <t>MCGRATH, DANIEL/0000-0002-9462-6842; O'Neel, Shad/0000-0002-9185-0144; Hojatimalekshah, Ahmad/0000-0003-2695-469X; Webb, Ryan/0000-0002-1565-909X; Bonnell, Randall/0000-0002-8812-351X</t>
  </si>
  <si>
    <t>JUL 22</t>
  </si>
  <si>
    <t>10.5194/tc-18-3253-2024</t>
  </si>
  <si>
    <t>WOS:001273258700001</t>
  </si>
  <si>
    <t>Hou, HY; Hu, GH; Chu, N; You, YH; Gao, MY; Li, MY; Hu, ZD</t>
  </si>
  <si>
    <t>Hou, Haiyan; Hu, Guohua; Chu, Nan; You, Yuanhong; Gao, Minyi; Li, Mengya; Hu, Zhiding</t>
  </si>
  <si>
    <t>Snow depth retrieval from microwave remote sensing by combining wavelet transform and machine learning models in Northern Xinjiang, China</t>
  </si>
  <si>
    <t>JOURNAL OF APPLIED REMOTE SENSING</t>
  </si>
  <si>
    <t>Passive microwave remote sensing is a valuable tool for snow depth estimation. However, accurate retrieval is limited by nonlinear relationships between the snow depth and passive microwave brightness temperature (TB) that are caused by snow physical properties, underlying surface type, and topographical factors. Our study aims to enhance snow depth estimation in Northern Xinjiang (NX), China, utilizing Advanced Microwave Scanning Radiometer 2 TB data (with a resolution of 0.1 deg) and fractional snow cover products through a combination of wavelet transform and two artificial neural network (ANN) models: feedforward neural network (FFNN) and generalized regression neural network (GRNN). The hybrid models were trained and validated using in situ snow depth observations from 44 stations across NX. Results indicate that applying wavelet transform reduces the root-mean-square error (RMSE) by 28.88% for FFNN. In the snow season of 2013 to 2014, Wavelet-GRNN (RMSE: 7.36 cm, NSE: 0.59, R: 0.78, bias: 1.68 cm) outperforms Wavelet-FFNN (RMSE: 8.26 cm, NSE: 0.48, R: 0.75, bias: 1.69 cm) by 10.90%. However, Wavelet-FFNN exhibits superior performance, up to 13.78% than Wavelet-GRNN in complex topographic areas like Xiaoquzi station. In addition, spatial-temporal estimations demonstrate that the hybrid models surpass three well-known snow depth products and alleviate issues of excessively high or low values in NX. These findings underscore the effectiveness of hybrid models combining wavelet transform and ANNs, integrating passive microwave remote sensing and auxiliary data, for accurate snow depth estimation in mountainous regions.(c) 2024 Society of Photo-Optical Instrumentation Engineers (SPIE)</t>
  </si>
  <si>
    <t>Gao, Minyi/HZK-6206-2023; zhiding, Hu/HHN-5338-2022; Hu, Guohua/H-4269-2016</t>
  </si>
  <si>
    <t>Hou, Haiyan/0000-0002-3052-1259</t>
  </si>
  <si>
    <t>1931-3195</t>
  </si>
  <si>
    <t>APR 1</t>
  </si>
  <si>
    <t>10.1117/1.JRS.18.024517</t>
  </si>
  <si>
    <t>WOS:001270024600022</t>
  </si>
  <si>
    <t>Broxton, P; Ehsani, MR; Behrangi, A</t>
  </si>
  <si>
    <t>Broxton, Patrick; Ehsani, Mohammad Reza; Behrangi, Ali</t>
  </si>
  <si>
    <t>Improving Mountain Snowpack Estimation Using Machine Learning With Sentinel-1, the Airborne Snow Observatory, and University of Arizona Snowpack Data</t>
  </si>
  <si>
    <t>Accurate mapping of snow amount in the mountains is critical as mountain snowpacks are water supply for millions of people. Satellite remote sensing has been largely unable to reliably detect the amount of snowpack in these areas. Recently, C-band Synthetic Aperture Radar (SAR) data from the Sentinel-1 (S1) satellites have shown potential for measuring snow depth in the mountains. However, their spatiotemporal coverage is incomplete, and their evaluation with robust, aerial snow depth data is limited. Here, we evaluate two S1 snowpack datasets with some of the best available gridded snowpack data over the Colorado Rockies and Sierra Nevada mountains in the western US: the Airborne Snow Observatory (ASO) and the University of Arizona (UA) snowpack datasets. Compared to ASO and UA data, the S1 data are biased high when snow is shallow, and biased low when snow is deep (particularly later in spring when there is wet snow), though these biases are reduced for deep snow areas when wet snow pixels are removed. We then apply corrections based on machine learning that account for physiographic characteristics to improve the accuracy of the S1 data. Furthermore, we fill gaps in the S1 data by using snow persistence, but also account for potential snow accumulation and ablation, to generate temporally complete snow depth maps over mountainous areas. Corrected and gap-filled S1 snow depth mapping could be especially important for snow monitoring in remote mountain areas where other techniques for snow mapping do not work or are logistically infeasible or cost-prohibitive. Two versions of Sentinel-1 snow data are compared to the ASO and University of Arizona (UA) snow data in the western United States These data are biased (low) high when snow is (deep) shallow, but masking of wet snow pixels improves low biases in areas with deep snow Machine learning and gap-filling are used to correct biases and generate temporally complete Sentinel-1 snow depth maps in these regions</t>
  </si>
  <si>
    <t>Ehsani, Mohammad Reza/AAV-6956-2021; Behrangi, Ali/V-8927-2019</t>
  </si>
  <si>
    <t>Ehsani, Mohammad Reza/0000-0003-0202-6901;</t>
  </si>
  <si>
    <t>MAR 16</t>
  </si>
  <si>
    <t>e2023EA002964</t>
  </si>
  <si>
    <t>10.1029/2023EA002964</t>
  </si>
  <si>
    <t>WOS:001185603600001</t>
  </si>
  <si>
    <t>Bhawana; Anilkumar, R; Singh, M; Bharti, R</t>
  </si>
  <si>
    <t>Bhawana; Anilkumar, Ritu; Singh, Manmit; Bharti, Rishikesh</t>
  </si>
  <si>
    <t>Snow Depth Modelling using Hybrid Optical - SAR Approach</t>
  </si>
  <si>
    <t>2024 IEEE INDIA GEOSCIENCE AND REMOTE SENSING SYMPOSIUM, INGARSS</t>
  </si>
  <si>
    <t>2024 India Geoscience and Remote Sensing Symposium-INGARSS-Annual</t>
  </si>
  <si>
    <t>DEC 02-05, 2024</t>
  </si>
  <si>
    <t>INDIA</t>
  </si>
  <si>
    <t>This study investigates a hybrid Optical-SAR approach for modelling snow depth in North Sikkim, India, a region characterized by complex terrain and frequent cloud cover. By integrating Sentinel-2 multispectral imagery with Sentinel-1 SAR data, the research aims to improve the accuracy and reliability of snow depth estimations. The Gradient Boosting Regression (GBR) model was employed, utilizing key variables such as the Snow Index, SAR backscatter values, and NDVI. The model demonstrated strong predictive performance, with an R-2 of 0.922 and an RMSE of 0.26. The snow depth maps generated are essential for hydrological planning, disaster management, and climate studies, offering valuable insights into snow dynamics in challenging environments. This approach highlights the potential of combining optical and radar data with machine learning techniques for enhanced environmental monitoring.</t>
  </si>
  <si>
    <t>; Bharti, Rishikesh/S-5002-2019; Anilkumar, Ritu/GXZ-7944-2022</t>
  </si>
  <si>
    <t>Singh, Manmit/0000-0002-1679-236X; Anilkumar, Ritu/0000-0003-2695-6409</t>
  </si>
  <si>
    <t>979-8-3503-9035-3; 979-8-3503-9034-6</t>
  </si>
  <si>
    <t>10.1109/InGARSS61818.2024.10984375</t>
  </si>
  <si>
    <t>WOS:001515777600207</t>
  </si>
  <si>
    <t>Gallet, M; Atto, A; Karbou, F; Trouve, E</t>
  </si>
  <si>
    <t>Gallet, Matthieu; Atto, Abdourrahmane; Karbou, Fatima; Trouve, Emmanuel</t>
  </si>
  <si>
    <t>Wet Snow Detection From Satellite SAR Images by Machine Learning With Physical Snowpack Model Labeling</t>
  </si>
  <si>
    <t>The detection of wet snow by satellite imaging is currently done in an unsupervised way and lacks quantitative evaluation due to the difficulty of collecting ground truths in extreme environments. In this article, we propose to take into account information associated with a physical model to label satellite data for the purpose of supervised learning of snow properties using synthetic aperture radar (SAR) imagery. This dataset is constructed from Sentinel-1 SAR images, augmented with topographic information obtained from a digital elevation model. The labeling of this data is done at the scale of the Northern Alps using the CROCUS physical snow model. Then, we trained, over 13 combinations of labeled dataset, a wide range of machine learning models to quantitatively identify the most relevant learners for the wet snow detection task. The results demonstrate consistency among the different algorithms, with significant improvement observed when incorporating polarimetric combinations and topographic orientation data in the input of the model. The best algorithmic solution trained on this dataset is evaluated by comparing the obtained wet snow map over a validation area in the French massif of the Grandes Rousses with the existing Copernicus products, fractional snow cover, and SAR wet snow. We also compare the temporal results obtained at one meteorological station located in the test area. The results show a better representation of wet snow during the melting period using the supervised learning approach, as well as a reduction in areas classified as wet during the winter season.</t>
  </si>
  <si>
    <t>Gallet, Matthieu/KPB-7063-2024; Karbou, Fatima/AAF-1870-2019</t>
  </si>
  <si>
    <t>Gallet, Matthieu/0009-0005-3094-0532; Trouvé, Emmanuel/0000-0003-2140-3303; Karbou, Fatima/0000-0003-3499-2557</t>
  </si>
  <si>
    <t>10.1109/JSTARS.2023.3342990</t>
  </si>
  <si>
    <t>WOS:001144739300006</t>
  </si>
  <si>
    <t>Himmele, G; Joseph, A; Ofekeze, E; Pinder, N; Miller, R; Jain, A; Vuyovich, C; Espada, K</t>
  </si>
  <si>
    <t>Himmele, Gabriela; Joseph, Alicia; Ofekeze, Evi; Pinder, Nicholas; Miller, Ryan; Jain, Aditya; Vuyovich, Carrie; Espada, Kari</t>
  </si>
  <si>
    <t>USING UNSUPERVISED MACHINE LEARNING METHODS AND THE NASA SNOWEX SWESARR INSTRUMENT TO STUDY HOW SNOW WATER EQUIVALENT IS CHANGING WITH CLIMATE CHANGE</t>
  </si>
  <si>
    <t>IGARSS 2024-2024 IEEE INTERNATIONAL GEOSCIENCE AND REMOTE SENSING SYMPOSIUM, IGARSS 2024</t>
  </si>
  <si>
    <t>IEEE International Geoscience and Remote Sensing Symposium (IGARSS)</t>
  </si>
  <si>
    <t>JUL 07-12, 2024</t>
  </si>
  <si>
    <t>Athens, GREECE</t>
  </si>
  <si>
    <t>Inst Elect &amp; Elect Engineers,Inst Elect &amp; Elect Engineers, Geoscience &amp; Remote Sensing Soc</t>
  </si>
  <si>
    <t>The Snow Water Equivalent Synthetic Aperture Radar and Radiometer ( SWESARR) is a dual microwave instrument meant to fill in information gaps in the remote sensing data of Snow Water Equivalent (SWE). The aim of this work is to improve and validate SWESARR measurements of SWE for areas with tree canopy using unsupervised machine learning methods. This information is critical to NASA's SnowEx mission for understanding the spatial and temporal variability of snow. SWE is an integral part of the climate system and affects many other climate-related processes, thus an accurate understanding of how SWE is changing with climate change is crucial for future water resource management. We have made use of a suite of parameters to help in identifying features most important in predicting SWE in areas that have missing satellite data due to vegetation. Our aim is to validate and improve SWESARR measurements using unsupervised machine learning clustering algorithms with the goal of being able to better quantify spatial and temporal changes of SWE due to climate change. Other relevant datasets that have been central to identifying parameters for predicting SWE and data validation have been from the ASO (Airborne Snow Observatory), NSIDC (National Snow and Ice Data Center), and ground snow pit observations taken by the SnowEx field work team. This work is a result of NASA's SnowEx team based out of Goddard Space Flight Center within the Climate Change Research Initiative at NASA GISS.</t>
  </si>
  <si>
    <t>979-8-3503-6033-2; 979-8-3503-6032-5</t>
  </si>
  <si>
    <t>10.1109/IGARSS53475.2024.10641609</t>
  </si>
  <si>
    <t>WOS:001316158502060</t>
  </si>
  <si>
    <t>Johnston, J; Jacobs, JM; Cho, ES</t>
  </si>
  <si>
    <t>Johnston, Jeremy; Jacobs, Jennifer M.; Cho, Eunsang</t>
  </si>
  <si>
    <t>Global Snow Seasonality Regimes from Satellite Records of Snow Cover</t>
  </si>
  <si>
    <t>JOURNAL OF HYDROMETEOROLOGY</t>
  </si>
  <si>
    <t>Snow cover provides distinct seasonal controls on the exchange of energy between Earth's surface and atmosphere, and on hydrologic cycling, and holds considerable importance to communities and ecosystems worldwide. In this work, we tackle a comprehensive review of existing snow classification approaches and the development of new glob-ally applicable snow cover-based rules for delineating snow seasonality classes. Snow classification rules are defined using machine learning approaches, which are then applied to the 22-yr record of snow cover (2000-22) from the Moderate Res-olution Imaging Spectroradiometer (MODIS) on a 0.018 global grid. For the MODIS period of record, we find the global land surface can be effectively partitioned into five snow seasonality classes: no snow, ephemeral, transitional, seasonal, and perennial snow regimes which on average cover extents of approximately 76 (52% of global land areas), 19 (13%), 16 (11%), 18 (13%), and 16 million km2 (11%), respectively. Using the multidecadal dataset, we explore changes within snow regimes and find significant increases in the areal extent of no snow (approximately 170000 km2 yr-1) as well as apparent losses in perennial (-3600 km2 yr-1) and seasonal snow regime coverage (-38000 km2 yr-1). The resulting classification maps have strong agreement with in situ snow depth observations and present similar patterns to existing snow and climate classifications with notable discrepancies in cold arid regions. The framework's ability to accurately capture variations in snow persistence, snow accumulation, and melt cycling is shown, providing a reference to the current state of global snow seasonality.</t>
  </si>
  <si>
    <t>; Johnston, Jeremy/AAZ-5052-2020</t>
  </si>
  <si>
    <t>Jacobs, Jennifer/0000-0003-3824-6439; Johnston, Jeremy/0000-0001-7895-6377</t>
  </si>
  <si>
    <t>1525-755X</t>
  </si>
  <si>
    <t>1525-7541</t>
  </si>
  <si>
    <t>JAN</t>
  </si>
  <si>
    <t>10.1175/JHM-D-23-0047.1</t>
  </si>
  <si>
    <t>WOS:001131597600001</t>
  </si>
  <si>
    <t>Joseph, A; Himmele, G; Pearce, M; Pinder, N; Jain, A; Espada, K; Conway, J; Mason, M; Vuyovichi, C</t>
  </si>
  <si>
    <t>Joseph, Alicia; Himmele, Gabriela; Pearce, Matthew; Pinder, Nicholas; Jain, Aditya; Espada, Kari; Conway, Joy; Mason, Megan; Vuyovichi, Carrie</t>
  </si>
  <si>
    <t>INTEGRATING EARLY CAREER STEM RESEARCH THROUGH MACHINE LEARNING BY THE NASA CLIMATE CHANGE RESEARCH INITIATIVE (CCRI)</t>
  </si>
  <si>
    <t>Satellites are particularly well-suited to provide spatially distributed observations of global snow. For hydrological research and applications, Snow Water Equivalent (SWE) is the most important observation, but it is also our biggest gap in snow remote sensing. Currently, no satellite sensor has the ability to measure SWE globally at the accuracy, resolution and frequency needed, because of a number of factors that impact the signals such as forests, mountains, clouds and the snow characteristics themselves. The NASA Climate Change Research Initiative (CCRI) SnowEx team uses machine learning approaches to attempt to address the unanswered questions of snow science. The team has collaborated with other similar NASA wide programs and leveraged skills and resources which led to the formation of a community machine learning (ML) working group.</t>
  </si>
  <si>
    <t>10.1109/IGARSS53475.2024.10642493</t>
  </si>
  <si>
    <t>WOS:001316158502061</t>
  </si>
  <si>
    <t>Liu, X; Kan, X; Zhang, YH; Zhu, LL; Liu, Q; Zhou, Z; Ma, GY</t>
  </si>
  <si>
    <t>Liu, Xu; Kan, Xi; Zhang, Yonghong; Zhu, Linglong; Liu, Qi; Zhou, Zhou; Ma, Guangyi</t>
  </si>
  <si>
    <t>FSC-USNet: Fractional Snow Cover Retrieval on the Tibetan Plateau by Integrating Improved Attention Mechanisms</t>
  </si>
  <si>
    <t>Snow on the Tibetan Plateau (TP) is not only a freshwater resource for the major rivers in Asia but also plays a significant role in adjusting temperature by reflecting solar radiation. Fractional snow cover mapping with fine spatial and temporal resolution is of great significance for clarifying snow resources and accurately managing snow water resources. However, due to the complex TP topography, the existing fractional snow cover (FSC) retrieval methods are affected by a variety of disturbance factors, resulting in a decrease in accuracy. In this study, a deep learning-based FSC retrieval method, FSC U-shape net, is proposed to improve snow cover mapping accuracy. The input images of FengYun-4A advanced geosynchronous radiation imager and geographic data are extracted using the proposed spatial-channel feature extraction module to characterize the shallow features with texture information into high-dimensional feature images. Additionally, an attention mechanism is introduced to improve the feature differences between different FSC degrees. Finally, the correlation of the decoded features in the channel direction is mined using the channel refinement module to obtain the final FSC results. In this study, a backpropagation artificial neural network, random forest, ResNet_FSC, and UNet are trained, compared, and validated against the MOA10A1 FSC product. The results show that the proposed method effectively mitigates the problems of unclear texture of snow edges, poor robustness, and underestimation in some areas, which exist in other models. Additionally, the proposed method has higher accuracy, with an R-2 and explained variance score reaching 0.7182 and 0.7332, respectively. Compared to the MOD10A1 snow product, the proposed method exhibits higher detection accuracy in mountainous areas with high snow cover and significantly improves the low snow cover detection rate.</t>
  </si>
  <si>
    <t>Zhang, Yonghong/PJB-9718-2026</t>
  </si>
  <si>
    <t>Liu, Qi/0000-0002-8485-3582; Kan, Xi/0000-0002-4629-9357; xu, liu/0009-0001-3939-8082</t>
  </si>
  <si>
    <t>10.1109/JSTARS.2024.3360087</t>
  </si>
  <si>
    <t>WOS:001236723400012</t>
  </si>
  <si>
    <t>Santi, E; Pettinato, S; Paloscia, S; Pilia, S; Baroni, F; Ramat, G</t>
  </si>
  <si>
    <t>Santi, Emanuele; Pettinato, Simone; Paloscia, Simonetta; Pilia, Simone; Baroni, Fabrizio; Ramat, Giuliano</t>
  </si>
  <si>
    <t>INTEGRATION OF ACTIVE AND PASSIVE MULTIFREQUENCY DATA FROM AMSR-2 AND COSMO SKYMED FOR SNOW DEPTH MONITORING AT HIGH RESOLUTION IN ALPINE ENVIRONMENTS</t>
  </si>
  <si>
    <t>This study aims at improving the spatial resolution of snow depth (SD) products derived from microwave satellite radiometers by proposing a disaggregation method based on X- band SAR data. The method has been developed and tested in the Western part of Italian Alps, by involving Cosmo SkyMed (CSK) and AMSR-2 data. Machine learning methods play a twofold role in the proposed active/passive (A/P) implementation: the AMSR-2 data disaggregation process is indeed based on Artificial Neural Networks (ANN), while the SD retrieval using the disaggregated data is based on ANN and Random Forest (RF) algorithms. To assess the effectiveness of the proposed A/P technique, the SD retrievals have been compared with those obtained by estimating SD directly from CSK data. Taking advantage of the multifrequency information, the retrievals based on A/P method clearly outperformed those based on CSK data only: correlation increased from R=0.77 to R= 0.85 for the ANN based retrievals and from 0.76 to 0.86 for the RF based retrievals. The corresponding RMSE decreases from 34 cm to 28 cm and from 34 cm to 27 cm for ANN and RF, respectively, in a SD range between 0 and similar or equal to 220 cm.</t>
  </si>
  <si>
    <t>Ramat, Giuliano/ADL-8637-2022; Baroni, Fabrizio/AFE-6939-2022; Pettinato, Simone/H-6051-2019</t>
  </si>
  <si>
    <t>Baroni, Fabrizio/0000-0003-4753-1258;</t>
  </si>
  <si>
    <t>10.1109/IGARSS53475.2024.10642383</t>
  </si>
  <si>
    <t>WOS:001316158501007</t>
  </si>
  <si>
    <t>Bovenga, F; Notarnicola, C; Pierdicca, N; Santi, E</t>
  </si>
  <si>
    <t>High resolution Snow Depth mapping in Alpine environments based on active and passive microwave data integration: a machine learning approach</t>
  </si>
  <si>
    <t>MICROWAVE REMOTE SENSING: DATA PROCESSING AND APPLICATIONS III</t>
  </si>
  <si>
    <t>Proceedings of SPIE</t>
  </si>
  <si>
    <t>2024 Conference on Microwave Remote Sensing: Data Processing and Applications</t>
  </si>
  <si>
    <t>SEP 18-19, 2024</t>
  </si>
  <si>
    <t>Edinburgh, SCOTLAND</t>
  </si>
  <si>
    <t>The International Society for Optics and Photonics</t>
  </si>
  <si>
    <t>This study aims at improving the spatial resolution of snow depth (SD) products derived from microwave satellite radiometers by proposing a disaggregation method based on X-band SAR data. The method has been developed and tested in the Western part of Italian Alps, by involving Cosmo SkyMed (CSK) and AMSR- 2 data. Machine learning methods play a twofold role in the proposed active/passive (A/P) implementation: the AMSR-2 data disaggregation process is indeed based on Artificial Neural Networks (ANN), while the SD retrieval using the disaggregated data is based on ANN and Random Forest (RF) algorithms. To assess the effectiveness of the proposed A/P technique, the SD retrievals have been compared with those obtained by estimating SD directly from CSK data. Taking advantage of the multifrequency information, the retrievals based on A/P method clearly outperformed those based on CSK data only: correlation increased from R=0.77 to R= 0.85 for the ANN based retrievals and from 0.76 to 0.86 for the RF based retrievals. The corresponding RMSE decreases from 34 cm to 28 cm and from 34 cm to 27 cm for ANN and RF, respectively, in a SD range between 0 and similar or equal to 220 cm.</t>
  </si>
  <si>
    <t>Pettinato, Simone/H-6051-2019; Ramat, Giuliano/ADL-8637-2022; Baroni, Fabrizio/AFE-6939-2022</t>
  </si>
  <si>
    <t>Ramat, Giuliano/0000-0003-4125-1634; Baroni, Fabrizio/0000-0003-4753-1258</t>
  </si>
  <si>
    <t>0277-786X</t>
  </si>
  <si>
    <t>1996-756X</t>
  </si>
  <si>
    <t>978-1-5106-8098-2; 978-1-5106-8099-9</t>
  </si>
  <si>
    <t>131950A</t>
  </si>
  <si>
    <t>10.1117/12.3034917</t>
  </si>
  <si>
    <t>WOS:001519952500006</t>
  </si>
  <si>
    <t>Yu, GA; Gu, LJ; Li, XF; Fan, XT</t>
  </si>
  <si>
    <t>Yu, Guangan; Gu, Lingjia; Li, Xiaofeng; Fan, Xintong</t>
  </si>
  <si>
    <t>Forest Snow Depth Estimation Based on Optimized Features and DNN Network Using C-Band SAR Data</t>
  </si>
  <si>
    <t>IEEE GEOSCIENCE AND REMOTE SENSING LETTERS</t>
  </si>
  <si>
    <t>With the rapid development of remote sensing technology, synthetic aperture radar (SAR) is gradually widely used in snow depth (SD) estimation and serves as a useful complement to optical sensor and passive microwave (PM) sensor for snow remote sensing applications. The selection of parameters and models related to the characteristics of snow in forest is crucial for improving the accuracy of forest SD estimation. The purpose of this letter is to develop a forest SD estimation algorithm based on optimized feature filtering (FF) and deep neural network (DNN) using Sentinel-1 C-band data and other auxiliary data. First, the optimized features are selected from the input dataset using the three FF methods based on machine learning (ML), maximum mutual information coefficient (MMIC), and the proposed Pearson correlation coefficient (PCC). Then, a nonlinear regression method based on DNN was developed to retrieve SD with the optimized features. Comparing results obtained from random forest (RF) algorithm, XGBoost (XGB) algorithm, and recurrent neural network (RNN) algorithm against the meteorological stations and field measured SD data in the forests of Northeast China, the proposed method performs superior with reduced uncertainties. The mean absolute error (MAE), root-mean-square error (RMSE), and coefficient of determination (R-2 ) of the proposed SD estimation method are 2.98 cm, 4.30 cm, and 0.77 for the test dataset, respectively.</t>
  </si>
  <si>
    <t>; li, xiaofeng/GXF-9442-2022</t>
  </si>
  <si>
    <t>Gu, Lingjia/0000-0002-4909-2263;</t>
  </si>
  <si>
    <t>1545-598X</t>
  </si>
  <si>
    <t>1558-0571</t>
  </si>
  <si>
    <t>10.1109/LGRS.2024.3379202</t>
  </si>
  <si>
    <t>WOS:001193984600023</t>
  </si>
  <si>
    <t>Moradizadeh, M; Alijanian, M; Moeini, R</t>
  </si>
  <si>
    <t>Moradizadeh, Mina; Alijanian, Mohammadali; Moeini, Ramtin</t>
  </si>
  <si>
    <t>Spatial Downscaling of Snow Water Equivalent Using Machine Learning Methods Over the Zayandehroud River Basin, Iran</t>
  </si>
  <si>
    <t>Snow cover is an informative indicator of climate change and surface hydrological cycles. Despite its essential accurate dynamic measurement (i.e., accumulation, erosion, and runoff), it is poorly known, particularly in mountainous regions. Since passive microwave sensors can contribute to obtaining information about snowpack volume, microwave brightness temperatures (BT) have long been used to assess spatiotemporal variations in snow water equivalent (SWE). However, SWE is greatly influenced by geographic location, terrain parameters/covers, and BT differences, and thus, the low spatial resolution of existing SWE products (i.e., the coarse resolution of AMSR-based products) leads to less satisfactory results, especially in regions with complex terrain conditions, strong seasonal transitions and, great spatiotemporal heterogeneity. A novel multifactor SWE downscaling algorithm based on the support vector regression (SVR) technique has been developed in this study for the Zayandehroud River basin. Thereby, passive microwave BT, location (latitude and longitude), terrain parameters (i.e., elevation, slope, and aspect), and vegetation cover serve as model input data. Evaluation of downscaled SWE estimates against ground-based observations demonstrated that when moving into higher spatial resolution, not only was there no significant decrease in accuracy, but a 4% increase was observed. In addition, this study suggests that integrating passive microwave remote sensing data with other auxiliary data can lead to a more efficient and effective algorithm for retrieving SWE with appropriate spatial resolution over various scales.</t>
  </si>
  <si>
    <t>Moradizadeh, Mina/O-2815-2019; /AAL-3480-2021; Moeini, Ramtin/ABB-5201-2020</t>
  </si>
  <si>
    <t>Moradizadeh, Mina/0000-0003-3163-5853;</t>
  </si>
  <si>
    <t>OCT</t>
  </si>
  <si>
    <t>10.1007/s41064-023-00249-9</t>
  </si>
  <si>
    <t>JUL 2023</t>
  </si>
  <si>
    <t>WOS:001032089100001</t>
  </si>
  <si>
    <t>Gao, S; Li, Z; Zhang, P; Chen, Q; Huang, L; Zhou, JM; Zhao, CJ; Qiao, HW; Zheng, ZJ</t>
  </si>
  <si>
    <t>Gao, Shuo; Li, Zhen; Zhang, Ping; Chen, Quan; Huang, Lei; Zhou, Jianmin; Zhao, Changjun; Qiao, Haiwei; Zheng, Zhaojun</t>
  </si>
  <si>
    <t>A novel global snow depth retrieval method considering snow metamorphism and forest influence</t>
  </si>
  <si>
    <t>Accurate snow depth (SD) information at global scales is highly important for validation and calibration of hydrological model, snowmelt runoff prediction, and global water supplies estimation. Passive microwave remote sensing has been proven to be an efficient method to detect SD at regional or global scales. However, numerous heterogeneous snow property parameters and forest parameters affect the microwave radiation characteristics, which is a great challenge for SD retrieval. In this study, a novel SD retrieval algorithm that comprehensively considered the multiple sensitive factors was developed at global scales by coupling the Microwave Emission Model of Layered Snowpacks (MEMLS) model and machine learning (ML) technique. The exponential correlation length (Pec), snow density (&amp; rho;), and forest cover fraction (fforest) are three sensitive parameters for retrieving SD from passive microwave observations based on the extended Fourier amplitude sensitivity test (EFAST) algorithm. The key parameter Pec, which characterizes the snow microstructure information inside snowpacks, was optimized by minimizing the brightness temperature between satellite observations and microwave radiative transfer model simulations by integrating the MEMLS, forest impact, and atmospheric radiation attenuation. The random forest (RF) ML technique was used, and the optimal combination of independent variables was selected by correlation heatmap and importance ranking of variables. Six selected essential parameters, including Pec, vertical polarized brightness temperature differences between 18.7 and 36.5 GHz, &amp; rho; from ERA5, fforest, elevation, and longitude together with target SD output were used to train the RF model. Seventy percent of the entire data at meteorological stations were randomly chosen to train the RF model, and the remaining 30% were adopted as the validation data from 2013 to 2020 to ensure the mutual independence of training data and validation data. Compared with independent in situ measurements, the overall RMSE of SD is 13.6 cm, which was noticeably lower than those of the international SD remote sensing products and reanalysis datasets, including AMSR2 (36.2 cm), GlobSnow 3.0 (25.3 cm), ERA5 (38.2 cm), and ERA5-land (29.9 cm). The results demonstrated that the new proposed algorithm, by coupling the MEMLS model with the ML technique, could significantly enhance the overall performance in SD retrieval at global scales.</t>
  </si>
  <si>
    <t>Qiao, Haiwei/MXK-6360-2025; Zhou, jianmin/PEX-7087-2025; Zhao, Changjun/MIT-4380-2025</t>
  </si>
  <si>
    <t>Qiao, Haiwei/0000-0002-8896-049X; Zhao, Changjun/0000-0002-8981-9009</t>
  </si>
  <si>
    <t>SEP 1</t>
  </si>
  <si>
    <t>10.1016/j.rse.2023.113712</t>
  </si>
  <si>
    <t>WOS:001044934100001</t>
  </si>
  <si>
    <t>Ma, XY; Li, DY; Fang, YW; Margulis, SA; Lettenmaier, DP</t>
  </si>
  <si>
    <t>Ma, Xiaoyu; Li, Dongyue; Fang, Yiwen; Margulis, Steven A.; Lettenmaier, Dennis P.</t>
  </si>
  <si>
    <t>Estimating spatiotemporally continuous snow water equivalent from intermittent satellite observations: an evaluation using synthetic data</t>
  </si>
  <si>
    <t>HYDROLOGY AND EARTH SYSTEM SCIENCES</t>
  </si>
  <si>
    <t>Accurate estimates of snow water equivalent (SWE) based on remote sensing have been elusive, particularly in mountain areas. However, there now appears to be some potential for direct satellite-based SWE observations along ground tracks that only cover a portion of a spatial domain (e.g., watershed). Fortunately, spatiotemporally continuous meteorological and surface variables could be leveraged to infer SWE in the gaps between satellite ground tracks. Here, we evaluate statistical and machine learning (ML) approaches to performing track-to-area (TTA) transformations of SWE observations in California's upper Tuolumne River watershed using synthetic data. The synthetic SWE measurements are designed to mimic a potential future P-band Signals of Opportunity (P-SoOP) satellite mission with a (along-track) spatial resolution of about 500 m. We construct relationships between multiple meteorological and surface variables and synthetic SWE observations along observation tracks, and we then extend these relationships to unobserved areas between ground tracks to estimate SWE over the entire watershed. Domain-wide, SWE inferred on 1 April using two synthetic satellite tracks (similar to 4.5 % basin coverage) led to percent errors of basin-averaged SWE (PEBAS) of 24.5 %, 4.5 % and 6.3 % in an extremely dry water year (WY2015), a normal water year (WY2008) and an extraordinarily wet water year (WY2017), respectively. Assuming a 10 d overpass interval, percent errors of basin-averaged SWE during both snow accumulation and snowmelt seasons were mostly less than 10 %. We employ a feature sensitivity analysis to overcome the black-box nature of ML methods and increase the explainability of the ML results. Our feature sensitivity analysis shows that precipitation is the dominant variable controlling the TTA SWE estimation, followed by net long-wave radiation (NetLong). We find that a modest increase in the accuracy of SWE estimation occurs when more than two ground tracks are leveraged. The accuracy of 1 April SWE estimation is only modestly improved for track repeats more often than about 15 d.</t>
  </si>
  <si>
    <t>Li, Dongyue/V-7975-2019; lettenmaier, dennis/F-8780-2011; Margulis, Steve/HOH-0155-2023; Ma, Xiaoyu/ABG-5188-2022</t>
  </si>
  <si>
    <t>Ma, Xiaoyu/0000-0001-9747-5907</t>
  </si>
  <si>
    <t>1027-5606</t>
  </si>
  <si>
    <t>1607-7938</t>
  </si>
  <si>
    <t>JAN 2</t>
  </si>
  <si>
    <t>10.5194/hess-27-21-2023</t>
  </si>
  <si>
    <t>WOS:000906405200001</t>
  </si>
  <si>
    <t>Gallet, M; Atto, A; Trouvé, E; Karbou, F</t>
  </si>
  <si>
    <t>Gallet, Matthieu; Atto, Abdourrahmane; Trouve, Emmanuel; Karbou, Fatima</t>
  </si>
  <si>
    <t>CNN CLASSIFICATION OF WET SNOW BY PHYSICAL SNOWPACK MODEL LABELING</t>
  </si>
  <si>
    <t>IGARSS 2023 - 2023 IEEE INTERNATIONAL GEOSCIENCE AND REMOTE SENSING SYMPOSIUM</t>
  </si>
  <si>
    <t>JUL 16-21, 2023</t>
  </si>
  <si>
    <t>Pasadena, CA</t>
  </si>
  <si>
    <t>IEEE,Inst Elect &amp; Elect Engineers, Geoscience &amp; Remote Sensing Soc</t>
  </si>
  <si>
    <t>We propose a new approach for wet snow extent mapping in Synthetic Aperture Radar (SAR) images by using a convolutional neural network (CNN) designed to learn with respect to snowpack outputs from the state-of-the-art snow model Crocus. The CNN was trained to classify the wet snow conditions based on features extracted from the SAR images, using both the VV,VH channel and the ratio between these channels and those of a reference image in summer. One of the key points of this work is the comprehensive comparison we have made between the performance of the CNN method and other advanced statistical methods. We found that the CNN was able to achieve good accuracy in wet snow classification, and giving a complementary vision of the solutions obtained by other machine learning algorithms such as the Random Forest classifier. The results of this study demonstrate the potential of using CNNs and SAR images for wet snow classification and highlight the importance of using physical information model for training machine learning models in snow state identification, a domain where collecting ground truth is intricate due to the complexity of the snowpack moisture measurement systems.</t>
  </si>
  <si>
    <t>Gallet, Matthieu/KPB-7063-2024</t>
  </si>
  <si>
    <t>Gallet, Matthieu/0009-0005-3094-0532</t>
  </si>
  <si>
    <t>979-8-3503-2010-7</t>
  </si>
  <si>
    <t>10.1109/IGARSS52108.2023.10281833</t>
  </si>
  <si>
    <t>WOS:001098971605133</t>
  </si>
  <si>
    <t>Palermo, G; Raparelli, E; Tuccella, P; Orlandi, M; Marzano, FS</t>
  </si>
  <si>
    <t>Palermo, Gianluca; Raparelli, Edoardo; Tuccella, Paolo; Orlandi, Massimo; Marzano, Frank Silvio</t>
  </si>
  <si>
    <t>Using Artificial Neural Networks to Couple Satellite C-Band Synthetic Aperture Radar Interferometry and Alpine3D Numerical Model for the Estimation of Snow Cover Extent, Height, and Density</t>
  </si>
  <si>
    <t>This work presents a new approach for the estimation of snow extent, height, and density in complex orography regions, which combines differential interferometric synthetic-aperture-radar (DInSAR) data and snowpack numerical model data through artificial neural networks (ANNs). The estimation method, subdivided into classification and estimation, is based on two ANNs trained by a DInSAR response model coupled with Alpine3D snow cover numerical model outputs. Auxiliary satellite training data from satellite visible-infrared MODIS imager as well as digital elevation and land cover models are used to discriminate wet and dry snow areas. For snow cover classification the ANN-based estimation methodology is combined with fuzzy-logic and compared with a consolidated decision threshold approach using C-band SAR backscattering information. For snow height (SH) and density estimation, the proposed methodology is compared with an analytical inverse method and two model-based statistical techniques (linear regression and maximum likelihood). The validation is carried out in Central Apennines, a mountainous area in Italy with an extension of about 104 km(2) and peaks up to 2912 m, using in situ data collected between December 2018 and February 2019. Results show that the ANN-based technique has a snow cover area classification accuracy of more than 80% when compared MODIS maps. Estimation bias and root mean square error are equal to about 0.5 cm and 20 cm for SH and to 5 kg/m(3) and 80 kg/m(3) for snow density. As expected, worse results are associated with low DInSAR coherence between two repeat passes and snow melting periods.</t>
  </si>
  <si>
    <t>PALERMO, GIANLUCA/U-5867-2019; Tuccella, Paolo/O-7092-2016; Marzano, Frank/X-9052-2018</t>
  </si>
  <si>
    <t>Orlandi, Massimo/0000-0002-7698-2990; Raparelli, Edoardo/0000-0003-4283-0996</t>
  </si>
  <si>
    <t>10.1109/JSTARS.2023.3253804</t>
  </si>
  <si>
    <t>WOS:000989479900003</t>
  </si>
  <si>
    <t>Pan, FB; Jiang, LM</t>
  </si>
  <si>
    <t>Pan, Fangbo; Jiang, Lingmei</t>
  </si>
  <si>
    <t>DEEP LEARNING BASED CLOUD DETECTION FOR FY-4A/AGRI SNOW MAPPING CONSIDERING CLOUD AND SNOW SPECTRAL CHARACTERISTICS</t>
  </si>
  <si>
    <t>Cloud detection is the first step in remote sensing surface parameter retrieval. Due to the similar spectral properties of cloud and snow, cloud products commonly used in snow monitoring sensors have a certain degree of cloud and snow misjudgment problem. With the launch of a new generation of geostationary satellite (such as China's FY-4A), its time resolution is 15 minutes, and high-frequency observations make accurate cloud and snow identification possible. This study utilizes the high-frequency and multispectral observation characteristics of FY4A, combining the multi band threshold method with deep learning algorithm, to fully explore the spectral and texture differences of cloud and snow, as well as the characteristics of rapid cloud changes, and achieve high-precision cloud detection. Then, the CALIPSO data is used to evaluate the accuracy of the new algorithm's detection results. From the results, the new algorithm for cloud and snow recognition is more accurate and consistent with CALIPSO observations. In terms of specific accuracy indicators, the cloud hit rate(CHR) increase 1.07% and the false alarm rate(FAR) decrease 5.15%. At the same time, both in terms of single scene or daily composite results, the proportion of cloud cover has decreased about 20%, and the proportion of snow cover can increase by up to about 15%. This laid a solid foundation for high-precision fractional snow cover retrieval and spatiotemporal reconstruction in the future.</t>
  </si>
  <si>
    <t>10.1109/IGARSS52108.2023.10281481</t>
  </si>
  <si>
    <t>WOS:001098971600026</t>
  </si>
  <si>
    <t>Tanniru, S; Ramsankaran, RAAJ</t>
  </si>
  <si>
    <t>Tanniru, Srinivasarao; Ramsankaran, R. A. A. J.</t>
  </si>
  <si>
    <t>Machine Learning-Based Estimation of High-Resolution Snow Depth in Alaska Using Passive Microwave Remote Sensing Data</t>
  </si>
  <si>
    <t>Snow depth (SD) knowledge is significant in many applications related to hydrology, climate, and disaster management. Many SD models are developed using multifrequency spaceborne passive microwave (PMW) brightness temperature (Tb) observations because of their sensitivity to SD. The sensitivity of Tb to SD is affected by snow metamorphism, which constrains the utility of several empirical and conceptual models for estimating SD. For the first time, extremely randomized trees (ERT), a machine learning algorithm, which is less susceptible to data noise, is used in this study for estimatingSDat high resolution (1kmx1 km) forAlaska. Different ERT SD models (i.e., Alaska wide model, zonal model) are developed using Advanced Microwave Scanning Radiometer-2 data and auxiliary datasets for various Alaska regions during 2012-2021. Thesemodels are evaluated using three different crossvalidations (i.e., sample, spatial, and temporal). Further, ERT models' predictive power assessment is performed using independent spatial, temporal datasets. The results indicate that: 1) inclusion of auxiliary parameters improves the accuracy of ERT SD estimates; 2) there is no substantial difference between the zonal and Alaska wide ERT model estimates; 3) when SD &gt;30 cm, the ERT models have outperformed the AMSR-2 product, the GlobSnow product, and the Chang model; 4) the mean absolute error in SD estimates increases with a decrease in latitude, an increase in elevation, and from early winter to late winter across Alaska. Overall, this study shows that the ERT SD model has good potential for improving moderate to deep SD estimates.</t>
  </si>
  <si>
    <t>Tanniru, SrinivasaRao/F-1862-2013; Ramsankaran, RAAJ/B-9198-2008</t>
  </si>
  <si>
    <t>Tanniru, SrinivasaRao/0000-0002-6632-6893; Ramsankaran, RAAJ/0000-0001-8602-1934</t>
  </si>
  <si>
    <t>10.1109/JSTARS.2023.3287410</t>
  </si>
  <si>
    <t>WOS:001029274100023</t>
  </si>
  <si>
    <t>Yu, X; Hu, X; Wang, GQ; Wang, KC; Chen, XL</t>
  </si>
  <si>
    <t>Yu, Xiao; Hu, Xie; Wang, Guoquan; Wang, Kaicun; Chen, Xuelong</t>
  </si>
  <si>
    <t>Machine-Learning Estimation of Snow Depth in 2021 Texas Statewide Winter Storm Using SAR Imagery</t>
  </si>
  <si>
    <t>GEOPHYSICAL RESEARCH LETTERS</t>
  </si>
  <si>
    <t>The frequency of extreme climate events has escalated since 1980. In February 2021, an unprecedented winter storm dumped the snow record in Texas. It claimed hundreds of lives and evolved into a national major disaster. However, we still lack a systematic approach to quantify large-scale snow depth. Here, we use the differential coherence from Sentinel-1 synthetic aperture radar (SAR) imagery to characterize the surface disturbance due to this winter storm. We further rely on machine-learning algorithms to quantify Texas statewide snow depth using surface disturbance map, SAR amplitude, precipitation, temperature, surface topography, land cover, and population. Our approach can provide an independent snow depth estimation. Approximately 89% of Texas accumulated over 30-mm snow depth. The SAR and machine-learning integrated methods can also be applied to quantify other forms of surface disturbance and to ultimately help natural hazard mitigation.</t>
  </si>
  <si>
    <t>Wang, Kaicun/F-7813-2012; Chen, Xuelong/C-2748-2014</t>
  </si>
  <si>
    <t>Wang, Kaicun/0000-0002-7414-5400; Chen, Xuelong/0000-0003-3892-5298; Yu, Xiao/0000-0003-4891-1260; Hu, Xie/0000-0002-6744-7291</t>
  </si>
  <si>
    <t>0094-8276</t>
  </si>
  <si>
    <t>1944-8007</t>
  </si>
  <si>
    <t>SEP 16</t>
  </si>
  <si>
    <t>e2022GL099119</t>
  </si>
  <si>
    <t>10.1029/2022GL099119</t>
  </si>
  <si>
    <t>WOS:000850889000001</t>
  </si>
  <si>
    <t>Yang, CY; Zhang, YH; Xia, M; Lin, HF; Liu, J; Li, Y</t>
  </si>
  <si>
    <t>Yang, Chaoyun; Zhang, Yonghong; Xia, Min; Lin, Haifeng; Liu, Jia; Li, Yang</t>
  </si>
  <si>
    <t>Satellite Image for Cloud and Snow Recognition Based on Lightweight Feature Map Attention Network</t>
  </si>
  <si>
    <t>ISPRS INTERNATIONAL JOURNAL OF GEO-INFORMATION</t>
  </si>
  <si>
    <t>Cloud and snow recognition technology is of great significance in the field of meteorology, and is also widely used in remote sensing mapping, aerospace, and other fields. Based on the traditional method of manually labeling cloud-snow areas, a method of labeling cloud and snow areas using deep learning technology has been gradually developed to improve the accuracy and efficiency of recognition. In this paper, from the perspective of designing an efficient and lightweight network model, a cloud snow recognition model based on a lightweight feature map attention network (Lw-fmaNet) is proposed to ensure the performance and accuracy of the cloud snow recognition model. The model is improved based on the ResNet18 network with the premise of reducing the network parameters and improving the training efficiency. The main structure of the model includes a shallow feature extraction module, an intrinsic feature mapping module, and a lightweight adaptive attention mechanism. Overall, in the experiments conducted in this paper, the accuracy of the proposed cloud and snow recognition model reaches 95.02%, with a Kappa index of 93.34%. The proposed method achieves an average precision rate of 94.87%, an average recall rate of 94.79%, and an average F1-Score of 94.82% for four sample recognition classification tasks: no snow and no clouds, thin cloud, thick cloud, and snow cover. Meanwhile, our proposed network has only 5.617M parameters and takes only 2.276 s. Compared with multiple convolutional neural networks and lightweight networks commonly used for cloud and snow recognition, our proposed lightweight feature map attention network has a better performance when it comes to performing cloud and snow recognition tasks.</t>
  </si>
  <si>
    <t>Xia, Min/AAC-7472-2019; Zhang, Yonghong/PJB-9718-2026</t>
  </si>
  <si>
    <t>Xia, Min/0000-0003-4681-9129;</t>
  </si>
  <si>
    <t>2220-9964</t>
  </si>
  <si>
    <t>10.3390/ijgi11070390</t>
  </si>
  <si>
    <t>WOS:000833788000001</t>
  </si>
  <si>
    <t>Yatheendradas, S; Kumar, S</t>
  </si>
  <si>
    <t>Yatheendradas, Soni; Kumar, Sujay</t>
  </si>
  <si>
    <t>A Novel Machine Learning-Based Gap-Filling of Fine-Resolution Remotely Sensed Snow Cover Fraction Data by Combining Downscaling and Regression</t>
  </si>
  <si>
    <t>Satellite-based remotely sensed observations of snow cover fraction (SCF) can have data gaps in spatially distributed coverage from sensor and orbital limitations. We mitigate these limitations in the example fine-resolution Moderate Resolution Imaging Spectroradiometer (MODIS) data by gap-filling using auxiliary 1-km datasets that either aid in downscaling from coarser-resolution (5 km) MODIS SCF wherever not fully covered by clouds, or else by themselves via regression wherever fully cloud covered. This study's prototype predicts a 1-km version of the 500-m MOD10A1 SCF target. Due to noncollocatedness of spatial gaps even across input and auxiliary datasets, we consider a recent gap-agnostic advancement of partial convolution in computer vision for both training and predictive gap-filling. Partial convolution accommodates spatially consistent gaps across the input images, effectively implementing a two-dimensional masking. To overcome reduced usable data from noncollocated spatial gaps across inputs, we innovate a fully generalized three-dimensional masking in this partial convolution. This enables a valid output value at a pixel even if only a single valid input variable and its value exist in the neighborhood covered by the convolutional filter zone centered around that pixel. Thus, our gap-agnostic technique can use significantly more examples for training (similar to 67%) and prediction (similar to 100%), instead of only less than 10% for the previous partial convolution. We train an example simple three-layer legacy super-resolution convolutional neural network (SRCNN) to obtain downscaling and regression component performances that are better than baseline values of either climatology or MOD10C1 SCF as relevant. Our generalized partial convolution can enable multiple Earth science applications like downscaling, regression, classification, and segmentation that were hindered by data gaps.</t>
  </si>
  <si>
    <t>KUMAR, SUJAY/B-8142-2015</t>
  </si>
  <si>
    <t>KUMAR, SUJAY/0000-0001-8797-9482</t>
  </si>
  <si>
    <t>10.1175/JHM-D-20-0111.1</t>
  </si>
  <si>
    <t>WOS:000814991800001</t>
  </si>
  <si>
    <t>Luo, JF; Dong, CY; Lin, KR; Chen, XH; Zhao, LQ; Menzel, L</t>
  </si>
  <si>
    <t>Luo, Jianfeng; Dong, Chunyu; Lin, Kairong; Chen, Xiaohong; Zhao, Liqiang; Menzel, Lucas</t>
  </si>
  <si>
    <t>Mapping snow cover in forests using optical remote sensing, machine learning and time-lapse photography</t>
  </si>
  <si>
    <t>The accurate spatial information of snow cover is useful for understanding the impact of global warming, and it is of high significance for hydrological disaster prediction, water resources management, and climate change research. The Normalized Difference Snow Index (NDSI) based approach has been used extensively around the world for mapping snow, and they displayed high accuracy in open areas. However, capturing snow cover in forests remains problematic due to the obstruction effects of the forest canopy, which causes the snow cover area to be seriously underestimated. In this paper, we present a new algorithm based on machine learning (ML) technology to improve the accuracy of binary snow cover (BSC) mapping in forests, using the remotely sensed surface reflectance and ground truth data. A time-lapse photography network with a two-hour resolution was established in the eastern Qilian Mountains in northwestern China to obtain the ground truth data both in forests and open areas. We trained Random Forests (RF) with the 500-m Moderate Resolution Imaging Spectroradiometer (MODIS) reflectance data from bands 1-7 to generate BSC results (RF-BSC). Then we evaluated RF-BSC and the NDSI-derived BSC maps with three different NDSI thresholds (i.e., 0.10, 0.29, and 0.40) against ground truth data. The results indicate that the proposed algorithm has a high performance in forest BSC mapping in this area, compared to the NDSI-threshold approach. The RF-BSC can retrieve 67% of all real forest snow pixels, while the NDSI-based BSC can only detect 8-14%. We also find that the performance of the algorithm seems to be sensitive to changes in solar illumination conditions and forest coverage. This study suggests that machine learning with the fusion of optical remote sensing and ground-based observations is an effective approach for improving the accuracy of forest snow cover mapping at regional scales.</t>
  </si>
  <si>
    <t>Menzel, Lucas/A-6881-2018; Dong, Chunyu/P-1741-2019</t>
  </si>
  <si>
    <t>Menzel, Lucas/0000-0002-2201-3406; Luo, Jianfeng/0000-0001-8344-7016; Dong, Chunyu/0000-0001-5721-9247</t>
  </si>
  <si>
    <t>JUN 15</t>
  </si>
  <si>
    <t>10.1016/j.rse.2022.113017</t>
  </si>
  <si>
    <t>APR 2022</t>
  </si>
  <si>
    <t>WOS:000798981000003</t>
  </si>
  <si>
    <t>Yang, KH; Musselman, KN; Rittger, K; Margulis, SA; Painter, TH; Molotch, NP</t>
  </si>
  <si>
    <t>Yang, Kehan; Musselman, Keith N.; Rittger, Karl; Margulis, Steven A.; Painter, Thomas H.; Molotch, Noah P.</t>
  </si>
  <si>
    <t>Combining ground-based and remotely sensed snow data in a linear regression model for real-time estimation of snow water equivalent</t>
  </si>
  <si>
    <t>ADVANCES IN WATER RESOURCES</t>
  </si>
  <si>
    <t>Effective water resources management in California relies substantially on real-time information of snow water equivalent (SWE) at basin scale and mountain ranges given that mountain snowpacks provide the primary water supply for the State. However, SWE estimation based solely on remote sensing, modeling, or ground observations does not meet contemporary operational requirements. In this context, this study develops a data-fusion framework that combines multi-source datasets including satellite-observed daily mean fractional snowcovered area (DMFSCA), snow pillow SWE measurements, physiographic data, and historical SWE patterns into a linear regression model (LRM) to improve SWE estimates in real-time. We test two LRMs: a baseline regression model (LRM-baseline) that uses physiographic data and historical SWE patterns as independent variables, and an FSCA-informed regression model (LRM-FSCA) that includes the DMFSCA from Moderate Resolution Imaging Spectroradiometer (MODIS) satellite imagery as an additional independent variable. By incorporating the satellite-observed DMFSCA, LRM-FSCA outperforms LRM-baseline with increased median R-2 from 0.54 to 0.60, and reduced median PBIAS of basin average SWE from 2.6% to 2.2% in the snow pillow SWE cross-validation. LRM-FSCA explains 87% of the variance in the snow course SWE measurements with 0.1% PBIAS, while LRM-baseline explains a lower 81% variance with 1.4% PBIAS, both of which show higher accuracy than SWE estimates from the two operational SWE datasets: the Snow Data Assimilation System (SNODAS, 73% and-2.4%, respectively) and Nationtional Water Model (NWM, 75% and-15.9%, respectively). Additionally, LRM-FSCA explains 85% of the median variance in the Airborne Snow Observatory SWE with-9.2% PBIAS, which is comparable to the LRM-baseline (86% and-11.3%, respectively) and considerably better than SNODAS (64% and 28.2%, respectively) and NWM (33% and-30.1%, respectively). This study shows a substantial model improvement by constraining the geographical and seasonal variation on snow-cover via satellite observation and highlights the values of using multi-source observations in real-time SWE estimation. The developed SWE estimation framework has crucial implications for effective water supply forecasting and management in California, where climate extremes (e.g., droughts and floods) require particularly skillful monitoring practices.</t>
  </si>
  <si>
    <t>Yang, Kehan/AAQ-9081-2020; Musselman, Keith/KVB-3328-2024; Margulis, Steve/HOH-0155-2023; Painter, Thomas/AAC-9493-2019</t>
  </si>
  <si>
    <t>Musselman, Keith/0000-0001-8394-491X; MOLOTCH, NOAH/0000-0003-4733-8060;</t>
  </si>
  <si>
    <t>0309-1708</t>
  </si>
  <si>
    <t>1872-9657</t>
  </si>
  <si>
    <t>10.1016/j.advwatres.2021.104075</t>
  </si>
  <si>
    <t>JAN 2022</t>
  </si>
  <si>
    <t>WOS:000788071300005</t>
  </si>
  <si>
    <t>Boyd, DR; Alam, AM; Kurum, M; Gurbuz, AC; Osmanoglu, B</t>
  </si>
  <si>
    <t>Boyd, D. R.; Alam, A. M.; Kurum, M.; Gurbuz, A. C.; Osmanoglu, B.</t>
  </si>
  <si>
    <t>PRELIMINARY SNOW WATER EQUIVALENT RETRIEVAL OF SNOWEX20 SWESARR DATA</t>
  </si>
  <si>
    <t>2022 IEEE INTERNATIONAL GEOSCIENCE AND REMOTE SENSING SYMPOSIUM (IGARSS 2022)</t>
  </si>
  <si>
    <t>JUL 17-22, 2022</t>
  </si>
  <si>
    <t>Kuala Lumpur, MALAYSIA</t>
  </si>
  <si>
    <t>This paper explores the retrieval of snow water equivalent (SWE) through the use of machine learning techniques and active radar data collected over the 2020 SnowEx campaign. The retrieval makes use of active radar measurements provided by NASA's SWESARR instrument for direct sensing of snowpack sensitivity to SWE. The example results show that an RMSE of 1.93 cm can be obtained through a combined use of SAR data with sufficient ancillary data. Such results may indicate successful SWE estimation by means of pairing spaceborne SAR measurements with sufficient auxiliary information.</t>
  </si>
  <si>
    <t>Alam, Ahmed Manavi/GZK-8611-2022; Gurbuz, Ali/AAB-5330-2020</t>
  </si>
  <si>
    <t>Alam, Ahmed Manavi/0000-0003-2022-9761;</t>
  </si>
  <si>
    <t>978-1-6654-2792-0</t>
  </si>
  <si>
    <t>10.1109/IGARSS46834.2022.9883412</t>
  </si>
  <si>
    <t>WOS:000920916604024</t>
  </si>
  <si>
    <t>Jin, D; Lee, KS; Choi, S; Seong, NH; Jung, D; Sim, S; Woo, J; Jeon, U; Byeon, Y; Han, KS</t>
  </si>
  <si>
    <t>Jin, Donghyun; Lee, Kyeong-Sang; Choi, Sungwon; Seong, Noh-Hun; Jung, Daeseong; Sim, Suyoung; Woo, Jongho; Jeon, Uujin; Byeon, Yugyeong; Han, Kyung-Soo</t>
  </si>
  <si>
    <t>An improvement of snow/cloud discrimination from machine learning using geostationary satellite data</t>
  </si>
  <si>
    <t>Snow and cloud discrimination is a main factor contributing to errors in satellite-based snow cover. To address the error, satellite-based snow cover performs snow reclassification tests on the cloud pixels of the cloud mask, but the error still remains. Machine Learning (ML) has recently been applied to remote sensing to calculate satellite-based meteorological data, and its utility has been demonstrated. In this study, snow and cloud discrimination errors were analyzed for GK-2A/AMI snow cover, and ML models (Random Forest and Deep Neural Network) were applied to accurately distinguish snow and clouds. The ML-based snow reclassified was integrated with the GK-2A/AMI snow cover through post-processing. We used the S-NPP/VIIRS snow cover and ASOS in situ snow observation data, which are satellite-based snow cover and ground truth data, as validation data to evaluate whether the snow/cloud discrimination is improved. The ML-based integrated snow cover detected 33-53% more snow compared to the GK-2A/AMI snow cover. In terms of performance, the F1-score and overall accuracy of the GK-2A/AMI snow cover was 73.06% and 89.99%, respectively, and those of the integrated snow cover were 76.78-78.28% and 90.93-91.26%, respectively.</t>
  </si>
  <si>
    <t>jung, daeseong/0000-0002-0796-5601; jeon, woojin/0000-0003-0499-640X; 우, 종호/0000-0002-4216-8835; Seong, Noh-hun/0000-0002-9371-8104; Sim, Suyoung/0000-0003-4164-1165; 진, 동현/0000-0001-5449-8252; Han, Kyung-Soo/0000-0002-5031-0256; Lee, kyeong-sang/0000-0002-7639-5729</t>
  </si>
  <si>
    <t>10.1080/17538947.2022.2152886</t>
  </si>
  <si>
    <t>WOS:000933403100001</t>
  </si>
  <si>
    <t>Paloscia, S; Santi, E; Pettinato, S; Lapini, A; Fontanelli, G; Pilia, S; Baroni, F; Ramat, G; Santurri, L; Notarnicola, C; De Gregorio, L; Cuozzo, G; Tapete, D; Cigna, F</t>
  </si>
  <si>
    <t>Paloscia, S.; Santi, E.; Pettinato, S.; Lapini, A.; Fontanelli, G.; Pilia, S.; Baroni, F.; Ramat, G.; Santurri, L.; Notarnicola, C.; De Gregorio, L.; Cuozzo, G.; Tapete, D.; Cigna, F.</t>
  </si>
  <si>
    <t>MULTIFREQUENCY SAR DATA FOR ESTIMATING SNOW, SOIL AND VEGETATION PARAMETERS</t>
  </si>
  <si>
    <t>The research results described in this paper have been obtained in the framework of the 2019-2022 ALGORITMI project between the Italian Space Agency (ASI) and the Institute of Applied Physics of the National Research Council (CNR-IFAC). The focus of the research was the development of innovative algorithms for the estimation of geophysical parameters of soil, snow, and vegetation with the aim of monitoring soil, snow cover and agricultural crop conditions. The estimation of soil moisture, vegetation biomass, snow water equivalent, and crop classification was improved by using retrieval algorithms based on machine- learning approaches and temporal series of SAR images from COSMO-SkyMed (CSK) and Sentinel-1 (S-1) missions, along with optical images from Sentinel-2. This paper provides an overview of the most recent and valuable results obtained during the project. In particular, the validation of soil moisture provided R=0.89 and RMSE=0.025 m(3)/m(3) by integrating data from S-1 and CSK and that one of snow water equivalent gave R=0.85 with RMSE=86.24 mm (CSK HIMAGE) and R=0.86 with RMSE=71.59 mm (CSK PP). Early mapping results showed an almost monotonic progression in overall accuracy over time higher than 90% by increasing the available images.</t>
  </si>
  <si>
    <t>Cigna, Francesca/B-9173-2015; Lapini, Alessano/J-6624-2017; Pettinato, Simone/H-6051-2019; santi, emanuele/A-7755-2013; Baroni, Fabrizio/AFE-6939-2022; Ramat, Giuliano/ADL-8637-2022; Tapete, Deodato/AAB-7528-2021</t>
  </si>
  <si>
    <t>Cigna, Francesca/0000-0001-8134-1576; Pilia, Simone/0000-0001-9773-9298; Lapini, Alessano/0000-0002-7711-7229; santi, emanuele/0000-0003-1882-6321; Baroni, Fabrizio/0000-0003-4753-1258; SANTURRI, LEONARDO/0000-0001-7316-643X;</t>
  </si>
  <si>
    <t>10.1109/IGARSS46834.2022.9884859</t>
  </si>
  <si>
    <t>WOS:000920916605064</t>
  </si>
  <si>
    <t>Santi, E; De Gregorio, L; Pettinato, S; Cuozzo, G; Jacob, A; Notarnicola, C; Günther, D; Strasser, U; Cigna, F; Tapete, D; Paloscia, S</t>
  </si>
  <si>
    <t>Santi, Emanuele; De Gregorio, Ludovica; Pettinato, Simone; Cuozzo, Giovanni; Jacob, Alexander; Notarnicola, Claudia; Guenther, Daniel; Strasser, Ulrich; Cigna, Francesca; Tapete, Deodato; Paloscia, Simonetta</t>
  </si>
  <si>
    <t>On the Use of COSMO-SkyMed X-Band SAR for Estimating Snow Water Equivalent in Alpine Areas: A Retrieval Approach Based on Machine Learning and Snow Models</t>
  </si>
  <si>
    <t>This study aims at estimating the dry snow water equivalent (SWE) by using X-band synthetic aperture radar (SAR) data from the COSMO-SkyMed (CSK) satellite constellation. The time series of CSK acquisitions have been collected during the dry snow period in the Alto Adige test site, in the Italian Alps, during the winter seasons from 2013 to 2015 and from 2019 to 2021. The SAR data have been analyzed and compared with the in situ measurements to understand the X-band SAR sensitivity to SWE, which has been further assessed by dense media radiative transfer (DMRT) model simulations. The sensitivity analysis provided the basis for addressing the SWE retrieval from the CSK data, by exploiting two different machine learning (ML) techniques, namely, artificial neural networks (ANNs) and support vector regression (SVR). To ensure statistical independence of training and validation processes, the algorithms are trained and tested using SWE predictions of the fully distributed snow model AMUNDSEN as reference data and are subsequently validated on the experimental dataset. Due to its influence on the CSK estimates, the effect of forest canopy was accounted for in the analysis. Depending on the algorithm, the validation resulted in a correlation coefficient 0.78 &lt;= R &lt;= 0.91 and a root-mean-square error (RMSE) 55.5 mm &lt;= RMSE &lt;= 87.4 mm between estimated and in situ SWE. Further analysis and validation are needed; however, the obtained results seem suggesting the CSK constellation as an effective tool for the retrieval of the dry SWE in alpine areas.</t>
  </si>
  <si>
    <t>; Tapete, Deodato/AAB-7528-2021; Pettinato, Simone/H-6051-2019; Cigna, Francesca/B-9173-2015; santi, emanuele/A-7755-2013</t>
  </si>
  <si>
    <t>Notarnicola, Claudia/0000-0003-1968-0125; Tapete, Deodato/0000-0002-7242-4473; Cuozzo, Giovanni/0000-0001-9120-7426; Jacob, Alexander/0000-0003-4434-7244; De Gregorio, Ludovica/0000-0003-2022-1479; Günther, Daniel/0000-0001-8268-6998; Cigna, Francesca/0000-0001-8134-1576; santi, emanuele/0000-0003-1882-6321</t>
  </si>
  <si>
    <t>10.1109/TGRS.2022.3191409</t>
  </si>
  <si>
    <t>WOS:000831177200001</t>
  </si>
  <si>
    <t>Wei, YL; Li, XF; Gu, LJ; Zheng, XM; Jiang, T; Zheng, ZJ</t>
  </si>
  <si>
    <t>Wei, Yanlin; Li, Xiaofeng; Gu, Lingjia; Zheng, Xingming; Jiang, Tao; Zheng, Zhaojun</t>
  </si>
  <si>
    <t>A Fine-Resolution Snow Depth Retrieval Algorithm From Enhanced-Resolution Passive Microwave Brightness Temperature Using Machine Learning in Northeast China</t>
  </si>
  <si>
    <t>As one of the major components in the hydrological system, seasonal snow cover in Northeast China has drawn much attention recently. Because of the coarse spatial resolution of the passive microwave (PMW), heterogeneity of snowpack, and forest cover, it is difficult for existing snow products to achieve high precision snow parameters [e.g., snow depth (SD) or snow water equivalent (SWE)] assessment and hydrological research in fine scale. In this study, a novel SD retrieval algorithm that considered both the spatiotemporal dynamic of snow characteristics and forest attenuation was developed by combining the Calibrated Enhanced-Resolution Brightness Temperature (TB) data and other auxiliary information and produced a fine resolution (i.e., 6.25 km x 6.25 km) and high accuracy SD data in Northeast China. Instead of complex physical models, the machine learning was used to untangle the nonlinear complex relationship between SD and the enhanced-resolution TB, forest fraction (FF), and snow characteristics. The verification results at ground weather stations showed that the retrieved SD by the proposed algorithm had high consistency with the observed SD, its RMSE, bias, and correlation coefficient (R) of 632 cm, -0.23 cm, and 0.63, respectively. Compared with the existing SD products (WESTDC and AMSR2), the developed model greatly improved both spatial resolution and retrieval accuracy. In general, the fine-resolution SD inversion model achieved satisfactory accuracy and stability, and it will be used to generate a long-term SD dataset service for climate change and hydrological research in the future.</t>
  </si>
  <si>
    <t>li, xiaofeng/GXF-9442-2022</t>
  </si>
  <si>
    <t>Wei, Yanlin/0000-0001-5755-7107; ZHENG, Zhaojun/0000-0002-7331-1905; Gu, Lingjia/0000-0002-4909-2263</t>
  </si>
  <si>
    <t>10.1109/LGRS.2022.3196135</t>
  </si>
  <si>
    <t>WOS:000842059000007</t>
  </si>
  <si>
    <t>Xiong, C; Yang, JR; Pan, JM; Lei, YH; Shi, JC</t>
  </si>
  <si>
    <t>Xiong, Chuan; Yang, Jingran; Pan, Jinmei; Lei, Yonghui; Shi, Jiancheng</t>
  </si>
  <si>
    <t>Mountain Snow Depth Retrieval From Optical and Passive Microwave Remote Sensing Using Machine Learning</t>
  </si>
  <si>
    <t>Snow depth (SD) or snow water equivalent in mountainous regions is crucial for hydrology, water resources management, meteorological, and climate research. Remote sensing can be used for SD monitoring on a regional scale or global scale. However, the spaceborne remote sensing of SD in the mountain is challenging because of the sensor sensitivity and spatial resolution problems. Recently, the time series Sentinel-1 is used for SD retrieval in mountains, which shows encouraging accuracy. In this study, an algorithm to estimate the SD in mountainous regions using optical and passive microwave remote sensing observations is proposed, which can be applied in periods before and after the launch of Sentinel-1. The optical and passive microwave remote sensing observations and the Sentinel-1 derived SD in 2016-2021 are used to train the SD retrieval algorithm using the Extreme gradient boosting (XGBoost) machine learning algorithm. Validations are performed using the cross-validation method and independent in situ SD data. The cross-validation shows a correlation coefficient of 0.81 and a mean absolute error (MAE) of 0.17 m. The correlation coefficient and MAE of predicted SD and in situ SD in 2002-2016 are 0.61 and 0.33 m, respectively, which shows significantly higher accuracy compared with AMSR-E/AMSR2 SD products. The site dependence of the machine learning method is also discussed. The machine learning-based SD retrieval presented in this study can be applied to mountains globally in the optical and passive microwave remote sensing era.</t>
  </si>
  <si>
    <t>Shi, Jiancheng/HIU-0908-2022</t>
  </si>
  <si>
    <t>熊, 川/0000-0001-9164-4810; 施, 建成/0000-0002-6163-2912</t>
  </si>
  <si>
    <t>10.1109/LGRS.2022.3226204</t>
  </si>
  <si>
    <t>WOS:000902088700006</t>
  </si>
  <si>
    <t>Yu, GG; Gu, LJ; Ren, RZ; Jiang, MD</t>
  </si>
  <si>
    <t>Butler, JJ; Xiong, X; Gu, X</t>
  </si>
  <si>
    <t>Yu, Guangan; Gu, Lingjia; Ren, Ruizhi; Jiang, Mingda</t>
  </si>
  <si>
    <t>Snow depth mapping in agricultural areas of Northeast China based on deep learning and multi-temporal Sentinel-1 data</t>
  </si>
  <si>
    <t>EARTH OBSERVING SYSTEMS XXVII</t>
  </si>
  <si>
    <t>Conference on Earth Observing Systems XXVII</t>
  </si>
  <si>
    <t>AUG 23-25, 2022</t>
  </si>
  <si>
    <t>San Diego, CA</t>
  </si>
  <si>
    <t>SPIE</t>
  </si>
  <si>
    <t>Snow is an essential element in surface climate studies. Snow measurement using remote sensing data gradually has become mainstream with the continuous development of remote sensing technology. Synthetic aperture radar (SAR) has the capability of all-day, all-weather ground observation, and combines high spatial resolution, interferometry, and polarization imaging. C-band SAR images are more sensitive to snow characteristics and are an effective data source for obtaining the spatial distribution of snow in areas with complex terrain. In recent years, the methods of using machine learning and deep learning to invert snow parameters such as snow depth and snow water equivalent have been widely used. In this paper, the study area is the farmland area of Northeast China. The relationship between snow depth and snow parameters is analyzed by a deep learning algorithm and machine learning algorithm using multi-temporal Sentinel-1 C-band SAR data, measured snow depth data, and so on. The inversion model based on the type of farmland subsurface is established to invert the snow depth in the farmland area of northeast China and output the map. The aim is to generate surface-based snow depth inversion results with less error and higher accuracy. The average MAE of the model is 2.06cm, RMSE is 2.96 cm, R-2 is 0.72, the maximum absolute error is 10.206 cm, and the minimum absolute error is 0.045cm for the farmland mixed group feature screening dataset.</t>
  </si>
  <si>
    <t>978-1-5106-5449-5; 978-1-5106-5448-8</t>
  </si>
  <si>
    <t>122321I</t>
  </si>
  <si>
    <t>10.1117/12.2631482</t>
  </si>
  <si>
    <t>WOS:000882951300043</t>
  </si>
  <si>
    <t>Zhu, XX; Gu, LJ; Li, XF; Jiang, T</t>
  </si>
  <si>
    <t>Zhu, Xiaoxin; Gu, Lingjia; Li, Xiaofeng; Jiang, Tao</t>
  </si>
  <si>
    <t>Snow Depth Estimation Based on Parameter Combinations Selection and Machine Learning Algorithm Using C-Band SAR Data in Northeast China</t>
  </si>
  <si>
    <t>Radar images with high spatial resolution are not affected by illumination or meteorological conditions, which effectively compensate for the shortcomings of optical images and passive microwave images. Thus, active microwave remote sensing technology has advantages in snow depth (SD) research. Machine learning algorithms (MLAs), which do not need to consider complex physical models, have increasingly been applied to SD research. Considering the snow conditions of different underlying surfaces, it is very important to select the appropriate parameter combinations (PC) reflecting the SD information for MLAs. In this study, C-band SAR data with 20 m spatial resolution, ground-based SD observation data from meteorological stations, and field measurement data in Northeast China were used to construct and validate the SD estimation method. Two parameter selection methods including the correlation coefficient method and the machine learning (ML) fusion method were proposed to discuss the influence of different PC on SD estimation. Then, XGBoost, random forest (RF), linear support vector regression (LSVR), and kernel support vector regression (KSVR) were applied to estimate SD based on the selected PC, and evaluate the accuracies of SD estimation using different MLAs. The results demonstrated that the PC selected using the correlation coefficient method and XGBoost algorithm could achieve the best SD results in the study area. Combining RPC-C with XGBoost algorithm, in cropland areas, the average values of mean absolute error (MAE) and root mean squared error (RMSE) were 1.75 and 2.58 cm, respectively. Combining RPC-F with XGBoost algorithm, in forest areas, the average values of MAE and RMSE were 3.12 and 5.07 cm, respectively. The research of this letter can select the optimal PC for MLAs and effectively improve the accuracy of SD estimation using C-band SAR data.</t>
  </si>
  <si>
    <t>Gu, Lingjia/0000-0002-4909-2263; Zhu, Xiaoxin/0000-0003-1697-9340</t>
  </si>
  <si>
    <t>10.1109/LGRS.2021.3129998</t>
  </si>
  <si>
    <t>WOS:000742225800068</t>
  </si>
  <si>
    <t>Yang, JW; Jiang, LM; Lemmetyinen, J; Pan, JM; Luojus, K; Takala, M</t>
  </si>
  <si>
    <t>Yang, J. W.; Jiang, L. M.; Lemmetyinen, J.; Pan, J. M.; Luojus, K.; Takala, M.</t>
  </si>
  <si>
    <t>Improving snow depth estimation by coupling HUT-optimized effective snow grain size parameters with the random forest approach</t>
  </si>
  <si>
    <t>Snow cover is highly critical for global water and energy cycles because of its wide areal extent, high reflectivity and good thermal insulation. Knowledge of snow conditions, e.g., snow water equivalent (SWE) and snow depth, is significant to hydrologic and climatologic processes. Spaceborne passive microwave (PMW) data, namely, brightness temperature (TB), have been in use for snow depth and SWE retrieval at the global scale since 1978. However, the sensitivity of TB to these parameters is complex due to snow metamorphism (e.g., snow grain size, GS), which limits the feasibility of many existing algorithms characterizing snow. This study presents a new methodology to retrieve snow depth over China by coupling a microwave snow emission model with a random forest (RF) machine learning (ML) technique. An effective GS value (effGS), a prior snowpack descriptor, was optimized utilizing the Helsinki University of Technology (HUT) model by minimizing the difference between AMSR2 observations (18.7 and 36.5 GHz) and HUT simulations. Five elaborately selected independent variables, including vertical polarized TB differences (TBD) between 18.7 and 36.5 GHz (TBD18.7V&amp;36.5V), 10.65 and 36.5 GHz (TBD10.65V&amp;36.5V), longitude, elevation and effGS, together with the target variable, snow depth, were applied to train the RF model, and then the 10-fold cross-validation (10-CV) approach was employed for performance validation using station data during the period from 2012 to 2018. The results indicated that (1) inclusion of effGS in RF greatly enhanced the overall performance in snow depth estimation; (2) the trained RF model performed better on a temporal scale than on a spatial scale, with unRMSEs of 1.81 cm and 3.17 cm, respectively; (3) specifically, the fitted RF algorithm partially addressed the overestimation in shallow (&lt;= 20 cm) snowpacks and underestimation in deep (&gt; 20 cm) snow conditions when compared with the established RF algorithm based solely on predictor variables but without effGS. To evaluate the predictive power of the RF algorithm trained with samples in 2017 and 2018, spatially independent station measurements during the period from 2012 to 2016 and field survey data collected from January 2018 to March 2019 were used for validation. Additionally, the RF estimates were compared with two widely used satellite products (AMSR2 and GlobSnow-2). The validation results showed that RF estimates were closer to the in situ data than the other two satellite products. This study demonstrated the potential utility of combining the snow emission model with an ML approach to improve snow depth estimation.</t>
  </si>
  <si>
    <t>Luojus, Kari/AAO-7912-2020; Jiang, Lingmei/L-6099-2016; Lemmetyinen, Juha/B-3739-2016</t>
  </si>
  <si>
    <t>Luojus, Kari/0000-0002-4066-6005; Jiang, Lingmei/0000-0002-9847-9034;</t>
  </si>
  <si>
    <t>10.1016/j.rse.2021.112630</t>
  </si>
  <si>
    <t>AUG 2021</t>
  </si>
  <si>
    <t>WOS:000688490900003</t>
  </si>
  <si>
    <t>Zhang, J; Pohjola, VA; Pettersson, R; Norell, B; Marchand, WD; Clemenzi, I; Gustafsson, D</t>
  </si>
  <si>
    <t>Zhang, Jie; Pohjola, Veijo A.; Pettersson, Rickard; Norell, Bjorn; Marchand, Wolf-Dietrich; Clemenzi, Ilaria; Gustafsson, David</t>
  </si>
  <si>
    <t>Improving the snowpack monitoring in the mountainous areas of Sweden from space: a machine learning approach</t>
  </si>
  <si>
    <t>ENVIRONMENTAL RESEARCH LETTERS</t>
  </si>
  <si>
    <t>Under a warming climate, an improved understanding of the water stored in snowpacks is becoming increasingly important for hydropower planning, flood risk assessment and water resource management. Due to inaccessibility and a lack of ground measurement networks, accurate quantification of snow water storage in mountainous terrains still remains a major challenge. Remote sensing can provide dynamic observations with extensive spatial coverage, and has proved a useful means to characterize snow water equivalent (SWE) at a large scale. However, current SWE products show very low quality in the mountainous areas due to very coarse spatial resolution, complex terrain, large spatial heterogeneity and deep snow. With more high-quality satellite data becoming available from the development of satellite sensors and platforms, it provides more opportunities for better estimation of snow conditions. Meanwhile, machine learning provides an important technique for handling the big data offered from remote sensing. Using the overuman Catchment in Northern Sweden as a case study, this paper explores the potentials of machine learning for improving the estimation of mountain snow water storage using satellite observations, topographic factors, land cover information and ground SWE measurements from the spatially distributed snow survey. The results show that significantly improved SWE estimation close to the peak of snow accumulation can be achieved in the catchment using the random forest regression. This study demonstrates the potentials of machine learning for better understanding the snow water storage in mountainous areas.</t>
  </si>
  <si>
    <t>; Gustafsson, David/G-6729-2012</t>
  </si>
  <si>
    <t>Clemenzi, Ilaria/0000-0001-7140-6647; Gustafsson, David/0000-0002-2754-7415</t>
  </si>
  <si>
    <t>1748-9326</t>
  </si>
  <si>
    <t>AUG</t>
  </si>
  <si>
    <t>10.1088/1748-9326/abfe8d</t>
  </si>
  <si>
    <t>WOS:000678345800001</t>
  </si>
  <si>
    <t>Cannistra, AF; Shean, DE; Cristea, NC</t>
  </si>
  <si>
    <t>Cannistra, Anthony F.; Shean, David E.; Cristea, Nicoleta C.</t>
  </si>
  <si>
    <t>High-resolution CubeSat imagery and machine learning for detailed snow-covered area</t>
  </si>
  <si>
    <t>Snow cover affects a diverse array of physical, ecological, and societal systems. As such, the development of optical remote sensing techniques to measure snow-covered area (SCA) has enabled progress in a wide variety of research domains. However, in many cases, the spatial and temporal resolutions of currently available remotely sensed SCA products are insufficient to capture SCA evolution at spatial and temporal resolutions relevant to the study of fine-scale spatially heterogeneous phenomena. We developed a convolutional neural network-based method to identify snow covered area using the similar to 3 m, 4-band PlanetScope optical satellite image dataset with similar to daily, near-global coverage. By comparing our model performance to snow extent derived from high-resolution airborne lidar differential depth measurements and satellite platforms in two North American sites (Sierra Nevada, CA, USA and Rocky Mountains, CO, USA), we show that these emerging image archives have great potential to accurately observe snow-covered area at high spatial and temporal resolutions despite limited radiometric bandwidth and band placement. We achieve average snow classification F-Scores of 0.73 in our training basin and 0.67 in a climatically-distinct out-of-sample basin, suggesting opportunities for model transferability. We also evaluate the performance of these data in forested regions, suggesting avenues for further research. The unparalleled spatial and temporal coverage of CubeSat imagery offers an excellent opportunity for satellite remote sensing of snow, with real implications for ecological and water resource applications.</t>
  </si>
  <si>
    <t>; Cannistra, Anthony/MCY-6687-2025; Cristea, Nicoleta/P-6245-2019</t>
  </si>
  <si>
    <t>Shean, David/0000-0003-3840-3860; Cannistra, Anthony/0000-0002-9852-6291;</t>
  </si>
  <si>
    <t>JUN 1</t>
  </si>
  <si>
    <t>10.1016/j.rse.2021.112399</t>
  </si>
  <si>
    <t>MAR 2021</t>
  </si>
  <si>
    <t>WOS:000637767400001</t>
  </si>
  <si>
    <t>Kuter, S</t>
  </si>
  <si>
    <t>Kuter, Semih</t>
  </si>
  <si>
    <t>Completing the machine learning saga in fractional snow cover estimation from MODIS Terra reflectance data: Random forests versus support vector regression</t>
  </si>
  <si>
    <t>This study; i) investigates the suitability of two frequently employed machine learning algorithms in remote sensing, namely, random forests (RFs) and support vector regression (SVR) for fractional snow cover (FSC) estimation from MODIS Terra data, and ii) compares them with the previously proposed artificial neural networks (ANNs) and multivariate adaptive regression splines (MARS) methods over an heterogeneous and complex alpine terrain. The dataset comprises 20 Landsat 8 - MODIS image pairs that belong to European Alps acquired from Apr 2013 to Dec 2016. The fifteen image pairs are used to generate the training dataset necessary to build the models, whereas the remaining five are employed as a separate test dataset. The reference FSC maps are derived from the binary classified Landsat 8 snow/no snow maps at 30 m resolution. In order to assess the effect of sampling type and sample size, nine different training datasets are generated. The RF and SVR models are trained accordingly by using various settings of model tuning parameters. During the training of the models, MODIS top-of-atmosphere reflectance values of bands 1-7, NDSI, NDVI and land cover class are input as independent variables (i.e., predictors) to estimate the dependent variable (i.e., response), i.e., FSC value. The resolution of the generated FSC maps is 500 m. The results indicate that the ANN, MARS, RF and SVR models exhibit high consistency with reference FSC values as indicated by low RMSE (similar to 0.14) and high R (similar to 0.93) values. In order to analyze the effect of using three auxiliary variables, i.e., NDSI, NDVI and land cover class, to the predictive ability of the models; ANN, MARS, RF and SVR models are also trained without these predictor variables, i.e., by only using MODIS bands 1-7. The models trained without three auxiliary variables slightly differ from the ones trained with the full set of predictors by only resulting in a mean decrease in R &lt;0.012 and a mean increase in RMSE &lt;0.009, showing that they perform well in solving the complex functional dependencies by only using MODIS reflectance data. In terms of computational efficiencies of the proposed algorithms measured by the CPU times spent during model training, MARS and RF algorithms outperform ANN and SVR methods.</t>
  </si>
  <si>
    <t>Kuter, Semih/AAF-3298-2021</t>
  </si>
  <si>
    <t>Kuter, Semih/0000-0002-4760-3816</t>
  </si>
  <si>
    <t>MAR 15</t>
  </si>
  <si>
    <t>10.1016/j.rse.2021.112294</t>
  </si>
  <si>
    <t>JAN 2021</t>
  </si>
  <si>
    <t>WOS:000619233500003</t>
  </si>
  <si>
    <t>Qiao, DJ; Li, Z; Zhang, P; Zhou, JM; Liang, S</t>
  </si>
  <si>
    <t>Qiao, Dejing; Li, Zhen; Zhang, Ping; Zhou, Jianmin; Liang, Shuang</t>
  </si>
  <si>
    <t>PREDICTION OF SNOW DEPTH BASED ON MULTI-SOURCE DATA AND MACHINE LEARNING ALGORITHMS</t>
  </si>
  <si>
    <t>2021 IEEE INTERNATIONAL GEOSCIENCE AND REMOTE SENSING SYMPOSIUM IGARSS</t>
  </si>
  <si>
    <t>JUL 12-16, 2021</t>
  </si>
  <si>
    <t>ELECTR NETWORK</t>
  </si>
  <si>
    <t>Inst Elect &amp; Elect Engineers,Inst Elect &amp; Elect Engineers Geoscience &amp; Remote Sensing Soc</t>
  </si>
  <si>
    <t>As an important element of the earth's surface, snow cover plays an important role in the global terrestrial ecosystem, climate change, water cycle and energy cycle. Snow depth (SD) provides information on the spatial distribution of snow cover and material energy information. It is also used to study the climatic effects of snow cover, water balance in the basin, snowmelt runoff simulation, and monitoring and evaluation of snow disasters. Snow depth data has become an indispensable basic supporting data in multi-disciplinary research. However, the current snow depth data is relatively poor in completeness and consistency and cannot meet the needs of related scientific research and industry applications, which will bring great confusion to users. This study attempts to use machine learning methods to effectively integrate snow depth data products from multiple sources to obtain a snow depth data set with high consistency in China. This paper chooses the passive microwave remote sensing data (WESTDC), ground-based data (Canadian Meteorological Centre, CMC) and Land surface models (Global Land Data Assimilation System, GLDAS; the NASA Modern-Era Retrospective Analysis for Research and Applications MERRA2; the European Centre for Medium-Range Weather Forecasts Interim Reanalysis, ERA-Interim) as the main SD data source of random forest model, and considering the influencing factors (e.g., land cover, snow class, forest cover fraction, surface roughness). The results show that the random forest fusion model method can effectively gather the advantages of each data source, improve the accuracy of snow depth estimation, and reduce the inconsistency between snow depth data from multiple sources. The correlation coefficient between the fused snow depth dataset and the observed snow depth can reach 0.87, and the root mean square error is 5.1 cm. Therefore, the multi-source snow depth fusion using random forest model can improve the accuracy of snow depth estimation.</t>
  </si>
  <si>
    <t>978-1-6654-0369-6</t>
  </si>
  <si>
    <t>10.1109/IGARSS47720.2021.9554675</t>
  </si>
  <si>
    <t>WOS:001250139805188</t>
  </si>
  <si>
    <t>Santi, E; Paloscia, S; Pettinato, S; Notarnicola, C; Cuozzo, G; De Gregorio, L; Cigna, F; Tapete, D</t>
  </si>
  <si>
    <t>Santi, E.; Paloscia, S.; Pettinato, S.; Notarnicola, C.; Cuozzo, G.; De Gregorio, L.; Cigna, F.; Tapete, D.</t>
  </si>
  <si>
    <t>SNOW WATER EQUIVALENT RETRIEVAL FROM COSMO-SKYMED OBSERVATIONS THROUGH MACHINE LEARNING ALGORITHMS AND MODEL SIMULATIONS</t>
  </si>
  <si>
    <t>The monitoring of snow conditions in Alpine areas to support water management and avalanche warning applications would require the estimate of snow parameters, such as the snow water equivalent (SWE). In this research, COSMO-SkyMed (CSK) X-band SAR data were exploited to estimate the SWE. In-situ snow measurements (depth, density, snow grain radius, temperature) collected in South Tyrol (Italy), were used to simulate the X-band backscatter with the Dense Medium Radiative Transfer (DMRT) electromagnetic model. Two SWE retrieval algorithms based on machine learning approach were implemented. The algorithms are based on Artificial Neural Networks (ANN) and Support Vector Regression (SVR) and have been trained with both experimental data and DMRT model simulations. These algorithms were applied to a selection of CSK StripMap HIMAGE HH-polarized scenes collected over the test area. The obtained results are promising and they confirm the potential of SAR data at X-band to retrieve snow parameters, although the algorithm validation should be improved in the future, with more consistent measurement dataset.</t>
  </si>
  <si>
    <t>Cuozzo, Giovanni/0000-0001-9120-7426; santi, emanuele/0000-0003-1882-6321; Notarnicola, Claudia/0000-0003-1968-0125</t>
  </si>
  <si>
    <t>10.1109/IGARSS47720.2021.9553985</t>
  </si>
  <si>
    <t>WOS:001250139805162</t>
  </si>
  <si>
    <t>Zaerpour, A; Adib, A; Motamedi, A</t>
  </si>
  <si>
    <t>Zaerpour, Arash; Adib, Arash; Motamedi, Ali</t>
  </si>
  <si>
    <t>Snow depth retrieval from passive microwave imagery using different artificial neural networks</t>
  </si>
  <si>
    <t>ARABIAN JOURNAL OF GEOSCIENCES</t>
  </si>
  <si>
    <t>The high degree of nonlinearity in the analysis of hydrologic systems demonstrates that artificial neural networks are suitable methods for this purpose. Artificial neural networks and passive microwave imagery have been combined for monitoring snow parameters, particularly in arid and semi-arid areas where the hydrologic process of the water basin is very dependent on the snow conditions (snow depth, snow water equivalent, snow density, snow cover area, snow stratigraphy, the shape of the crystals of snow). The multilayer perceptron is learned by different methods (Levenberg-Marquardt, scaled conjugate gradient, gradient descent with momentum and adaptive learning rate). These multilayer perceptrons are compared with radial basis function and multilayer perceptron-genetic algorithm for evaluating snow depth. Snow depth is estimated using passive microwave brightness temperature of a special sensor microwave/imager sensor. The results indicate that multilayer perceptron-genetic algorithm outperformed other artificial neural networks (multilayer perceptron-Levenberg-Marquardt, multilayer perceptron-scaled conjugate gradient, multilayer perceptron-gradient descent with momentum and adaptive learning rate, multilayer perceptron-genetic algorithm and radial basis function) with r = 0.97, RMSE = 0.18, and NSE = 0.83 for training and r = 0.90, RMSE = 0.19, and NSE = 0.39 for testing.</t>
  </si>
  <si>
    <t>Adib, Arash/AAF-5415-2021</t>
  </si>
  <si>
    <t>Adib, Arash/0000-0002-1575-0387</t>
  </si>
  <si>
    <t>1866-7511</t>
  </si>
  <si>
    <t>1866-7538</t>
  </si>
  <si>
    <t>JUL 18</t>
  </si>
  <si>
    <t>10.1007/s12517-020-05642-x</t>
  </si>
  <si>
    <t>WOS:000552403600005</t>
  </si>
  <si>
    <t>Bloshchinskiy, VD; Kuchma, MO; Andreev, A; Sorokin, AA</t>
  </si>
  <si>
    <t>Bloshchinskiy, Vladislav D.; Kuchma, Mikhail O.; Andreev, Alexander, I; Sorokin, Aleksei A.</t>
  </si>
  <si>
    <t>Snow and cloud detection using a convolutional neural network and low-resolution data from the Electro-L No. 2 Satellite</t>
  </si>
  <si>
    <t>We describe an algorithm based on a convolutional neural network that detects cloud formations and snow cover in satellite images using textures. Herein, multispectral satellite images, received from a multizone scanning instrument used for hydrometeorological support and installed on the Russian satellite Electro-L No. 2, are used as input data. The problem of snow and cloud classification in the absence of a spectral channel in the range of 1.4 to 1.8 mu m, which is necessary for their accurate separation, is considered. The developed algorithm can produce cloud and snow cover masks for an area limited by the values of the solar zenith angle in the range of 0 deg to 80 deg for daytime. Algorithm accuracy was evaluated using machine learning metrics and comparing its results with ground truth masks segmented manually by an experienced interpreter. In addition, we compared the resulting masks with a similar cloud mask product from the European Organisation for the Exploitation of Meteorological Satellites based on the data of the Spinning Enhanced Visible and Infrared Imager (SEVIRI) instrument installed on the Meteosat-8 satellite. According to the results of this comparison, we conclude that the cloud masks produced by the proposed convolutional neural network-based algorithm have a lower probability of false detection than products based on the SEVIRI data. The proposed algorithm is fully automatic, and it works in any season of the year during the daytime. (C) 2020 Society of Photo-Optical Instrumentation Engineers (SPIE)</t>
  </si>
  <si>
    <t>Bloshchinskiy, Vladislav/AAQ-5068-2020; Kuchma, Mikhail/ADP-6622-2022; Sorokin, Aleksei/I-5980-2014</t>
  </si>
  <si>
    <t>Bloshchinskiy, Vladislav/0000-0001-7378-6559; Kuchma, Mikhail/0000-0002-3450-7323; Sorokin, Aleksei/0000-0003-3334-3440</t>
  </si>
  <si>
    <t>JUL 15</t>
  </si>
  <si>
    <t>10.1117/1.JRS.14.034506</t>
  </si>
  <si>
    <t>WOS:000551468300001</t>
  </si>
  <si>
    <t>Yang, JW; Jiang, LM; Luojus, K; Pan, JM; Lemmetyinen, J; Takala, M; Wu, SL</t>
  </si>
  <si>
    <t>Yang, Jianwei; Jiang, Lingmei; Luojus, Kari; Pan, Jinmei; Lemmetyinen, Juha; Takala, Matias; Wu, Shengli</t>
  </si>
  <si>
    <t>Snow depth estimation and historical data reconstruction over China based on a random forest machine learning approach</t>
  </si>
  <si>
    <t>We investigated the potential capability of the random forest (RF) machine learning (ML) model to estimate snow depth in this work. Four combinations composed of critical predictor variables were used to train the RF model. Then, we utilized three validation datasets from out-of-bag (OOB) samples, a temporal subset, and a spatiotemporal subset to verify the fitted RF algorithms. The results indicated the following: (1) the accuracy of the RF model is greatly influenced by geographic location, elevation, and land cover fractions; (2) however, the redundant predictor variables (if highly correlated) slightly affect the RF model; and (3) the fitted RF algorithms perform better on temporal than spatial scales, with unbiased root-mean-square errors (RMSEs) of similar to 4.4 and similar to 7.3 cm, respectively. Finally, we used the fitted RF2 algorithm to retrieve a consistent 32-year daily snow depth dataset from 1987 to 2018. This product was evaluated against the independent station observations during the period 1987-2018. The mean unbiased RMSE and bias were 7.1 and -0.05 cm, respectively, indicating better performance than that of the former snow depth dataset (8.4 and -1.20 cm) from the Environmental and Ecological Science Data Center for West China (WESTDC). Although the RF product was superior to the WESTDC dataset, it still underestimated deep snow cover (&gt; 20 cm), with biases of -10.4, -8.9, and -34.1 cm for northeast China (NEC), northern Xinjiang (XJ), and the Qinghai-Tibetan Plateau (QTP), respectively. Additionally, the long-term snow depth datasets (station observations, RF estimates, and WESTDC product) were analyzed in terms of temporal and spatial variations over China. On a temporal scale, the ground truth snow depth presented a significant increasing trend from 1987 to 2018, especially in NEC. However, the RF and WESTDC products displayed no significant changing trends except on the QTP. The WESTDC product presented a significant decreasing trend on the QTP, with a correlation coefficient of -0.55, whereas there were no significant trends for ground truth observations and the RF product. For the spatial characteristics, similar trend patterns were observed for RF and WESTDC products over China. These characteristics presented significant decreasing trends in most areas and a significant increasing trend in central NEC.</t>
  </si>
  <si>
    <t>Jiang, Lingmei/L-6099-2016; Luojus, Kari/AAO-7912-2020; Wu, Shengli/Y-9381-2019; Lemmetyinen, Juha/B-3739-2016</t>
  </si>
  <si>
    <t>Jiang, Lingmei/0000-0002-9847-9034; Luojus, Kari/0000-0002-4066-6005; Wu, Shengli/0000-0002-5930-3183; Lemmetyinen, Juha/0000-0003-4434-9696</t>
  </si>
  <si>
    <t>JUN 3</t>
  </si>
  <si>
    <t>10.5194/tc-14-1763-2020</t>
  </si>
  <si>
    <t>WOS:000538410900001</t>
  </si>
  <si>
    <t>Wang, JW; Yuan, QQ; Shen, HF; Liu, TT; Li, TW; Yue, LW; Shi, XG; Zhang, LP</t>
  </si>
  <si>
    <t>Wang, Jiwen; Yuan, Qiangqiang; Shen, Huanfeng; Liu, Tingting; Li, Tongwen; Yue, Linwei; Shi, Xiaogang; Zhang, Liangpei</t>
  </si>
  <si>
    <t>Estimating snow depth by combining satellite data and ground-based observations over Alaska: A deep learning approach</t>
  </si>
  <si>
    <t>Snow cover plays a vital role in the climate system because it is related to climate, hydrological cycle, and ecosystem. On this basis, deriving a long-term and large-scale snow depth (SD) time series and monitoring its temporal and spatial variations are crucial. Passive microwave remote sensing data in combination with in-situ SD data have long been used to retrieve SD. However, the retrieval accuracy is limited in case of sparse meteorological stations, and the high-quality applications of retrieval results are hindered in specific areas. The ground-based global navigation satellite system reflectometry (GNSS-R) method is currently a potential way to monitor SD variations with a high degree of accuracy but has a limited spatial coverage. In this study, a deep learning-based approach, which displays a stronger nonlinear expressiveness capability than conventional neural networks, was applied to estimate SD by combining satellite observations, in-situ data, and GNSS-R estimates. The model was trained and tested with data obtained in Alaska between 2008 and 2017. Results show that the proposed deep belief network model performs better than linear methods and conventional neural network models and demonstrate the effectiveness of combining GNSS-R estimation with increased cross-validation R of 0.85 and decreased RMSE of 15.40 cm. The predicted SD distribution indicates that the variations in mean SD in Alaska for March and April between 2008 and 2017 were associated with the climate anomalies and air temperature. Overall, the proposed deep learning-based method is a promising approach in the satellite-retrieved SD field.</t>
  </si>
  <si>
    <t>Yue, Linwei/ABD-8243-2022; Shen, Huanfeng/HPD-8048-2023; Liu, Tingting/HCH-2239-2022; Zhang, Liangpei/ADI-7616-2022; Yuan, Qiangqiang/V-4671-2019</t>
  </si>
  <si>
    <t>Yue, Linwei/0009-0008-8794-2389; Shen, Huanfeng/0000-0002-4140-1869; Li, Tongwen/0000-0001-7197-3713;</t>
  </si>
  <si>
    <t>10.1016/j.jhydrol.2020.124828</t>
  </si>
  <si>
    <t>WOS:000544230000079</t>
  </si>
  <si>
    <t>Liu, Y; Chen, X; Hao, JS; Li, LH</t>
  </si>
  <si>
    <t>Liu Yang; Chen Xi; Hao Jian-Sheng; Li Lan-hai</t>
  </si>
  <si>
    <t>Snow cover estimation from MODIS and Sentinel-1 SAR data using machine learning algorithms in the western part of the Tianshan Mountains</t>
  </si>
  <si>
    <t>JOURNAL OF MOUNTAIN SCIENCE</t>
  </si>
  <si>
    <t>Obtaining the spatial distribution of snow cover in mountainous areas using the optical image of remote sensing technology is difficult because of cloud and fog. In this study, the object-based principle component analysis-support vector machine (PCA-SVM) method is proposed for snow cover mapping through the integration of moderateresolution imaging spectroradiometer (MODIS) snow cover products and the Sentinel-1 synthetic aperture radar (SAR) scattering characteristics. First, derived from the Sentinel-1A SAR images, the feature parameters, including VV/VH backscatter, scattering entropy, and scattering alpha, were used to describe the variations of snow and non-snow covers. Second, the optimum feature combinations of snow cover were formed from the feature parameters using the principle component analysis (PCA) algorithm. Finally, using the optimum feature combinations, a snow cover map with a 20 m spatial resolution was extracted by means of an object-based SVM classifier. This method was applied in the study area of the Xinyuan County, which is located in the western part of the Tianshan Mountains in Xinjiang, China. The accuracies in this method were analyzed according to the data observed at different experimental sites. Results showed that the snow cover pixels of the extraction were less than those in the actual situation (FB1=93.86, FB2=59.78). The evaluation of the threat score (TS), probability of detection (POD), and false alarm ratio (FAR) for the snow-covered pixels obtained from the two-stage SAR images were different (TS1=86.84, POD1=90.10, FAR(1)=4.01; TS2=56.40, POD2=57.62, FAR(2)=3.62). False and misclassifications of the snow cover and non-snow cover pixels were found. Although the classifications were not highly accurate, the approach showed potential for integrating different sources to retrieve the spatial distribution of snow covers during a stable period.</t>
  </si>
  <si>
    <t>Li, Lanhai/AAE-9967-2020</t>
  </si>
  <si>
    <t>1672-6316</t>
  </si>
  <si>
    <t>1993-0321</t>
  </si>
  <si>
    <t>10.1007/s11629-019-5723-1</t>
  </si>
  <si>
    <t>WOS:000525174500009</t>
  </si>
  <si>
    <t>Guo, XJ; Chen, Y; Liu, XF; Zhao, Y</t>
  </si>
  <si>
    <t>Guo, Xuejun; Chen, Yin; Liu, Xiaofeng; Zhao, Yue</t>
  </si>
  <si>
    <t>Extraction of snow cover from high-resolution remote sensing imagery using deep learning on a small dataset</t>
  </si>
  <si>
    <t>REMOTE SENSING LETTERS</t>
  </si>
  <si>
    <t>Snow cover is of great significance for many applications. However, automatic extraction of snow cover from high spatial resolution remote sensing (HSRRS) imagery remains challenging, owing to its multiscale characteristics, similarities to clouds, and occlusion by the shadows of mountains and clouds. Deep convolutional neural networks for semantic segmentation are the most popular approach to automatic map generation, but they require huge computing time and resources, as well as a large dataset of pixel-wise annotated HSRRS images, which precludes the application of many superior models. In this study, these limitations are overcome by using a sequence of transfer learning steps. The method starts with a modified aligned ?Xception? model pre-trained for object classification on ImageNet. Subsequently, a ?DeepLab version three plus? (DeepLabv3+) model is trained using a large dataset of Landsat images and corresponding snow cover products. Finally, a second transfer learning step is employed to fine-tune the model on the small dataset of GaoFen-2, the highest resolution HSRRS satellite in China. Experiments demonstrate the feasibility and effectiveness of this framework for automatic snow cover extraction.</t>
  </si>
  <si>
    <t>liu, xiaofeng/GQG-9287-2022; Zhao, Yue/LUY-9370-2024</t>
  </si>
  <si>
    <t>2150-704X</t>
  </si>
  <si>
    <t>2150-7058</t>
  </si>
  <si>
    <t>10.1080/2150704X.2019.1686548</t>
  </si>
  <si>
    <t>WOS:000493463300001</t>
  </si>
  <si>
    <t>Pettinato, S; Paloscia, S; Santi, E; Palchetti, E; De Gregorio, L; Notarnicola, C; Cuozzo, G; Marin, C; Cigna, F; Tapete, D</t>
  </si>
  <si>
    <t>Pettinato, S.; Paloscia, S.; Santi, E.; Palchetti, E.; De Gregorio, L.; Notarnicola, C.; Cuozzo, G.; Marin, C.; Cigna, F.; Tapete, D.</t>
  </si>
  <si>
    <t>MULTI-FREQUENCY SAR IMAGES FOR SWE RETRIEVAL IN ALPINE AREAS THROUGH MACHINE LEARNING APPROACHES</t>
  </si>
  <si>
    <t>IGARSS 2020 - 2020 IEEE INTERNATIONAL GEOSCIENCE AND REMOTE SENSING SYMPOSIUM</t>
  </si>
  <si>
    <t>SEP 26-OCT 02, 2020</t>
  </si>
  <si>
    <t>The characterization of snow conditions and the estimation of snow water equivalent (SWE) are the main goals of this paper, achieved through the exploitation of multi-frequency SAR data at both C- and X-bands from Sentinel-1 (S-1) and COSMO-SkyMed (CSK) satellites, respectively. Dry/wet snow conditions have first been assessed using C-band S-1 images. Subsequently, a sensitivity analysis was carried out by using datasets of in-situ snow measurements (i.e. snow depth, density, snow grain radius, temperature and wetness) collected in South Tyrol region, in north-eastern Italy. Simulations based on the Dense Medium Radiative Transfer (DMRT) forward electromagnetic model were considered to interpret and assess the experimental findings. Two retrieval algorithms for SWE estimation from X-band SAR data were implemented. These algorithms are based on machine learning approaches, i.e. Artificial Neural Networks (ANN) and Support Vector Regression (SVR). The training of the algorithms accounts for experimental data and DMRT model simulations and, then is applied to a selection of X-band CSK StripMap HIMAGE scenes collected over the test area. The results are promising, and pave the way for further analysis and validation to exploit the potential of SAR for snow parameter retrieval.</t>
  </si>
  <si>
    <t>; Cigna, Francesca/B-9173-2015; santi, emanuele/A-7755-2013; Tapete, Deodato/AAB-7528-2021; Pettinato, Simone/H-6051-2019</t>
  </si>
  <si>
    <t>Cuozzo, Giovanni/0000-0001-9120-7426; Notarnicola, Claudia/0000-0003-1968-0125; Cigna, Francesca/0000-0001-8134-1576; santi, emanuele/0000-0003-1882-6321;</t>
  </si>
  <si>
    <t>978-1-7281-6374-1</t>
  </si>
  <si>
    <t>10.1109/IGARSS39084.2020.9323472</t>
  </si>
  <si>
    <t>WOS:000664335302234</t>
  </si>
  <si>
    <t>Santi, E; Paloscia, S; Pettinato, S; De Gregorio, L; Cuozzo, G; Jacob, A; Notarnicola, C; Cigna, F; Tapete, D</t>
  </si>
  <si>
    <t>Santi, Emanuele; Paloscia, Simonetta; Pettinato, Simone; De Gregorio, Ludovica; Cuozzo, Giovanni; Jacob, Alexander; Notarnicola, Claudia; Cigna, Francesca; Tapete, Deodato</t>
  </si>
  <si>
    <t>SWE retrieval in Alpine areas with high-resolution COSMO-SkyMed X-band SAR data using Artificial Neural Networks and Support Vector Regression techniques</t>
  </si>
  <si>
    <t>2020 XXXIIIRD GENERAL ASSEMBLY AND SCIENTIFIC SYMPOSIUM OF THE INTERNATIONAL UNION OF RADIO SCIENCE</t>
  </si>
  <si>
    <t>33rd General Assembly and Scientific Symposium (GASS) of the International-Union-of-Radio-Science (URSI)</t>
  </si>
  <si>
    <t>AUG 29-SEP 05, 2020</t>
  </si>
  <si>
    <t>Rome, ITALY</t>
  </si>
  <si>
    <t>Int Union Radio Sci</t>
  </si>
  <si>
    <t>The potential of satellite Synthetic Aperture Radar (SAR) sensors for Snow Water Equivalent (SWE) retrieval in Alpine areas is assessed in this study. X-band HH-polarized SAR backscatter from 2012-2015 images acquired by the COSMO-SkyMed constellation over the South Tyrol province in northern Italy is compared with SWE in-situ measurements and nivo-meteorological station records. The resulting relationship is compared with simulations based on the Dense Media Radiative Transfer - Quasi Mie Scattering (DMRT - QMS) model. Artificial Neural Networks (ANN) and Support Vector Regression (SVR) machine learning techniques are trained and used for SWE retrieval from COSMO-SkyMed data. Good accuracy and small computational cost are observed for both ANN and SVR. The resulting SWE maps agree with snow conditions measured in-situ.</t>
  </si>
  <si>
    <t>Pettinato, Simone/H-6051-2019; Jacob, Alexander/V-8401-2019; Tapete, Deodato/AAB-7528-2021; santi, emanuele/A-7755-2013; Cigna, Francesca/B-9173-2015</t>
  </si>
  <si>
    <t>Jacob, Alexander/0000-0003-4434-7244; Notarnicola, Claudia/0000-0003-1968-0125; santi, emanuele/0000-0003-1882-6321; Cigna, Francesca/0000-0001-8134-1576; Cuozzo, Giovanni/0000-0001-9120-7426</t>
  </si>
  <si>
    <t>978-9-4639-6800-3</t>
  </si>
  <si>
    <t>10.23919/ursigass49373.2020.9232247</t>
  </si>
  <si>
    <t>WOS:000632276400173</t>
  </si>
  <si>
    <t>Ahmad, JA; Forman, BA; Kwon, Y</t>
  </si>
  <si>
    <t>Ahmad, Jawairia A.; Forman, Barton A.; Kwon, Yonghwan</t>
  </si>
  <si>
    <t>Analyzing Machine Learning Predictions of Passive Microwave Brightness Temperature Spectral Difference Over Snow-Covered Terrain in High Mountain Asia</t>
  </si>
  <si>
    <t>FRONTIERS IN EARTH SCIENCE</t>
  </si>
  <si>
    <t>Snow is an important component of the terrestrial freshwater budget in high mountain Asia (HMA) and contributes to the runoff in Himalayan rivers through snowmelt. Despite the importance of snow in HMA, considerable spatiotemporal uncertainty exists across the different estimates of snow water equivalent for this region. In order to better estimate snow water equivalent, radiative transfer models are often used in conjunction with microwave brightness temperature measurements. In this study, the efficacy of support vector machines (SVMs), a machine learning technique, to predict passive microwave brightness temperature spectral difference (Delta Tb) as a function of geophysical variables (snow water equivalent, snow depth, snow temperature, and snow density) is explored through a sensitivity analysis. The use of machine learning (as opposed to radiative transfer models) is a relatively new and novel approach for improving snow water equivalent estimates. The Noah-MP land surface model within the NASA Land Information System framework is used to simulate the hydrologic cycle over HMA and model geophysical variables that are then used for SVM training. The SVMs serve as a nonlinear map between the geophysical space (modeled in Noah-MP) and the observation space (Delta Tb as measured by the radiometer). Advanced Microwave Scanning Radiometer-Earth Observing System measured passive microwave brightness temperatures over snow-covered locations in the HMA region are used as training data during the SVM training phase. Sensitivity of well-trained SVMs to each Noah-MP modeled state variable is assessed by computing normalized sensitivity coefficients. Sensitivity analysis results generally conform with the known first-order physics. Input states that increase volume scattering of microwave radiation, such as snow density and snow water equivalent, exhibit a plurality of positive normalized sensitivity coefficients. In general, snow temperature was the most sensitive input to the SVM predictions. The sensitivity of each state is location and time dependent. The signs of normalized sensitivity coefficients that indicate physical irrationality are ascribed to significant cross-correlation between Noah-MP simulated states and decreased SVM prediction capability at specific locations due to insufficient training data. SVM prediction pitfalls do exist that serve to highlight the limitations of this particular machine learning algorithm.</t>
  </si>
  <si>
    <t>Forman, Barton A/I-2227-2012</t>
  </si>
  <si>
    <t>Forman, Barton A/0000-0001-6410-9978; Ahmad, Jawairia/0000-0003-2953-9360</t>
  </si>
  <si>
    <t>2296-6463</t>
  </si>
  <si>
    <t>AUG 20</t>
  </si>
  <si>
    <t>10.3389/feart.2019.00212</t>
  </si>
  <si>
    <t>WOS:000481868600002</t>
  </si>
  <si>
    <t>De Gregorio, L; Cigna, F; Cuozzo, G; Jacob, A; Paloscia, S; Pettinato, S; Santi, E; Tapete, D; Bruzzone, L; Notarnicola, C</t>
  </si>
  <si>
    <t>De Gregorio, Ludovica; Cigna, Francesca; Cuozzo, Giovanni; Jacob, Alexander; Paloscia, Simonetta; Pettinato, Simone; Santi, Emanuele; Tapete, Deodato; Bruzzone, Lorenzo; Notarnicola, Claudia</t>
  </si>
  <si>
    <t>SWE retrieval by exploiting COSMO-SkyMed X-band SAR imagery and ground data through a machine learning approach</t>
  </si>
  <si>
    <t>ACTIVE AND PASSIVE MICROWAVE REMOTE SENSING FOR ENVIRONMENTAL MONITORING III</t>
  </si>
  <si>
    <t>Conference on Active and Passive Microwave Remote Sensing for Environmental Monitoring III</t>
  </si>
  <si>
    <t>SEP 11-12, 2019</t>
  </si>
  <si>
    <t>Strasbourg, FRANCE</t>
  </si>
  <si>
    <t>The main objective of this work is to estimate Snow Water Equivalent (SWE) by jointly exploiting the information derived from X-band Synthetic Aperture Radar (SAR) imagery acquired by the Italian Space Agency COSMO-SkyMed satellite constellation in StripMap HIMAGE mode and manual SWE ground measurements. The idea is to verify the sensitivity of the backscattering coefficient at X-band to the SWE and, by means of a Support Vector Regression (SVR) algorithm, to estimate the SWE for the South Tyrol region, north-eastern Italy. The regressor is trained by exploiting about 1,000 simulated backscattering coefficients corresponding to different snowpack conditions, obtained with a theoretical model based on the Dense Media Radiative Transfer theory - Quasi-crystalline approximation Mie scattering of Sticky spheres (DMRT-QMS). Then, the performance is evaluated on the backscattering values derived from COSMO-SkyMed satellite images and using the corresponding ground measurements of SWE as references. The results show a correlation coefficient equal to 0.6, a bias of 10.5 mm and a RMSE of 51.8 mm between estimated SWE values and ground measurements. The limited performance could be related to the DMRT-QMS theoretical model used for the simulations that results to be very sensitive to snow grain size and may have generated a training dataset only partially representative of satellite derived backscattering coefficients used for testing the algorithm.</t>
  </si>
  <si>
    <t>Pettinato, Simone/H-6051-2019; Bruzzone, Lorenzo/JPL-7703-2023; Cigna, Francesca/B-9173-2015; Jacob, Alexander/V-8401-2019; Tapete, Deodato/AAB-7528-2021; santi, emanuele/A-7755-2013</t>
  </si>
  <si>
    <t>Cigna, Francesca/0000-0001-8134-1576; Jacob, Alexander/0000-0003-4434-7244; Notarnicola, Claudia/0000-0003-1968-0125; Tapete, Deodato/0000-0002-7242-4473; santi, emanuele/0000-0003-1882-6321; Cuozzo, Giovanni/0000-0001-9120-7426</t>
  </si>
  <si>
    <t>978-1-5106-3011-6; 978-1-5106-3012-3</t>
  </si>
  <si>
    <t>UNSP 111540M</t>
  </si>
  <si>
    <t>10.1117/12.2550824</t>
  </si>
  <si>
    <t>WOS:000511150300005</t>
  </si>
  <si>
    <t>Patil, A; Singh, G; Rüdiger, C</t>
  </si>
  <si>
    <t>Patil, Akshay; Singh, Gulab; Rudiger, Christoph</t>
  </si>
  <si>
    <t>A NOVEL APPROACH FOR THE RETRIEVAL OF SNOW WATER EQUIVALENT USING SAR DATA</t>
  </si>
  <si>
    <t>2019 IEEE INTERNATIONAL GEOSCIENCE AND REMOTE SENSING SYMPOSIUM (IGARSS 2019)</t>
  </si>
  <si>
    <t>JUL 28-AUG 02, 2019</t>
  </si>
  <si>
    <t>Yokohama, JAPAN</t>
  </si>
  <si>
    <t>Over the last decade, many snowpack parameter retrieval algorithms utilizing C- and X-band Synthetic Aperture Radar (SAR) data have been proposed. These algorithms are capable of retrieving snow density and snow wetness accurately, but not Snow Water Equivalent (SWE). In this paper, a novel approach of SWE estimation is proposed based on TerraSAR-X full-polarimetric data. A unique relationship between the extinction coefficient of the snowpack and snow wetness is built and verified with field data. This relationship enables the retrieval of Snow Depth (SD) and SWE using existing snow density algorithm and volume scattering power. The validation of SD and SWE is carried out with near-real-time ground truth measurements. The accuracy assessment for SD showed Mean Absolute (MAE) and Root Mean Squared (RMSE) Errors of 15 cm and 16 cm, respectively. On the other hand, SWE retrievals resulted in MAE and RMSE of 22.7 mm and 30 mm, respectively.</t>
  </si>
  <si>
    <t>; Rudiger, Christoph/PKG-2747-2026; Patil, Akshay/AAT-2217-2020</t>
  </si>
  <si>
    <t>Rüdiger, Christoph/0000-0003-4375-4446; Patil, Akshay/0000-0001-5445-2107</t>
  </si>
  <si>
    <t>978-1-5386-9154-0</t>
  </si>
  <si>
    <t>10.1109/igarss.2019.8900565</t>
  </si>
  <si>
    <t>WOS:000519270603064</t>
  </si>
  <si>
    <t>Varade, D; Dikshit, O; Manickam, S; Singh, G; Snehmani</t>
  </si>
  <si>
    <t>Varade, Divyesh; Dikshit, Onkar; Manickam, Surendar; Singh, Gulab; Snehmani</t>
  </si>
  <si>
    <t>Capability assessment of Sentinel-1 bi-temporal dual polarimetric SAR data for inferences on snow density</t>
  </si>
  <si>
    <t>2019 IEEE MTT-S INTERNATIONAL MICROWAVE AND RF CONFERENCE (IMARC)</t>
  </si>
  <si>
    <t>IEEE MTT-S International Microwave and RF Conference</t>
  </si>
  <si>
    <t>IEEE MTT-S International Microwave and RF Conference (IMARC)</t>
  </si>
  <si>
    <t>DEC 13-15, 2019</t>
  </si>
  <si>
    <t>Mumbai, INDIA</t>
  </si>
  <si>
    <t>IEEE,IEEE MTT S</t>
  </si>
  <si>
    <t>The snow water equivalent is a significant parameter in the determination of the hydrological potential of snow, which requires timely information on snow density and snow depth. For shallow snow depth, the C-band polarimetric synthetic aperture radar (SAR) data can be effectively utilized for the estimation of snow density. Although methods exist in the literature for the estimation of snow density, they are largely based on the exploitation of fully polarimetric SAR, which is mostly commercial and highly expensive. In this paper, we assess the capability of the Sentinel-1 polarimetric SAR data for determination of snow density using two bi-temporal dataset pairs based on a novel framework. The method is based on the derivation of incrementaUdecremental factors of the scattering matrix, which are related to the Fresnel transmission coefficients (FTC) and the attenuation constant. The snow density is determined using the permittivity derived from the inversion of the FTC. The experiments are also performed using RADARSAT-2 datasets synchronized with field measurements. The results are observed to be in agreement with respect to the available in-situ measurements as determined by the coefficient of determination of 0.658 and 0.525 for the RADARSAT-2 and Sentinel-1 datasets, respectively.</t>
  </si>
  <si>
    <t>Manickam, Surendar/OPN-5045-2025; Varade, Divyesh/I-4111-2019</t>
  </si>
  <si>
    <t>Varade, Divyesh/0000-0003-0283-8387</t>
  </si>
  <si>
    <t>2377-9144</t>
  </si>
  <si>
    <t>10.1109/imarc45935.2019.9118717</t>
  </si>
  <si>
    <t>WOS:000730826200076</t>
  </si>
  <si>
    <t>Yang, JW; Jiang, LM; Wang, GX; Wang, J; Cui, HZ; Su, X</t>
  </si>
  <si>
    <t>Yang, Jianwei; Jiang, Lingmei; Wang, Gongxue; Wang, Jian; Cui, Huizhen; Su, Xu</t>
  </si>
  <si>
    <t>A FRAME ON SNOW DEPTH RECONSTRUCTION BASED ON MACHINE LEARNING TECHNIQUE</t>
  </si>
  <si>
    <t>Snow depth (SD) and snow water equivalent (SWE) are significant parameters in climate and hydrologic models. Successful estimation of SD (SWE) can improve the accuracy of snowmelt-runoff predictions and the management of water supplies. Currently, passive microwave (PMW) remote sensing is the most efficient way to monitor SD on global and regional scales; however, there are many challenges for accurate SD estimation. In this study, a new spatial dynamic method is developed by introducing random forest (RF) model, AMSR-2 TB and other auxiliary data. The main objective of this work is to produce long term SD dataset with the dynamic method using the Special Sensor Microwave Imager (SSM/I) and Special Sensor Microwave Imager/Sounder (SSMI/S) which span from 1987 to present. Through evaluation and analysis, the RF method performs better than traditional linear-fitting model. However, it tends to overestimate SD in shallow snow cover areas. Now, a preliminary spatial dynamic method (pixel-based model) is developed. For further work, the evaluation will be conducted to assess the feasibility of SD reconstruction. Moreover, to address overestimation over shallow snow areas, the snow depletion curve (SDC) incorporating SD and fractional snow cover (FSC) is expected to improve SD retrievals.</t>
  </si>
  <si>
    <t>Jiang, Lingmei/L-6099-2016</t>
  </si>
  <si>
    <t>Jiang, Lingmei/0000-0002-9847-9034</t>
  </si>
  <si>
    <t>10.1109/igarss.2019.8898406</t>
  </si>
  <si>
    <t>WOS:000519270604013</t>
  </si>
  <si>
    <t>Xiao, XX; Zhang, TJ; Zhong, XY; Shao, WW; Li, XD</t>
  </si>
  <si>
    <t>Xiao, Xiongxin; Zhang, Tingjun; Zhong, Xinyue; Shao, Wanwan; Li, Xiaodong</t>
  </si>
  <si>
    <t>Support vector regression snow-depth retrieval algorithm using passive microwave remote sensing data</t>
  </si>
  <si>
    <t>Snow cover is an informative indicator of climate change because it can affect local and regional surface energy and water balance, hydrological processes and climate, and ecosystem function. Passive microwave (PM) remote sensing data have long been used to retrieve snow depth and snow water equivalent with large uncertainties. The objective of this study is to develop snow-depth retrieval algorithm based on support vector regression (SVR) technique using PM remote sensing data and other auxiliary data. Ground-based daily snow depth data from 1223 stations across Eurasian continent were used to construct and validate the snow-depth retrieval algorithm. This SVR snow-depth retrieval algorithm partitioned three snow cover stages, and four land cover types then generated twelve snow-depth models for each phases. A non-linear regression method based on support vector regression (SVR) was used to retrieve snow depth with PM brightness temperatures, location (latitude and longitude), and terrain parameters (elevation) as input data and land cover as auxiliary data. In addition, we compared the performance of the SVR snow-depth retrieval algorithm with four alternative algorithms: the Chang algorithm, the Spectral Polarization Difference (SPD) algorithm, the Artificial/Neural Networks (ANN) and, an algorithm based on linear regression. Comparing results obtained from these five snow-depth retrieval algorithms against the ground-based daily snow depth data, the SVR snow-depth retrieval algorithm performs much superior with reduced uncertainties. We report the results aimed at evaluating the impact of the variation of snow cover stages and land cover types. The preliminary results suggest that the SVR snow-depth algorithm could detect deep snow with high accuracy and decrease the impact of saturation effects. These results suggest that the SVR snow-depth retrieval algorithm integrating PM remote sensing data and other auxiliary data (land cover types, location, terrain, snow cover stage with indirectly considering grain size variation) can be a more efficient and effective algorithm for retrieving snow depth and snow water equivalent over various scales.</t>
  </si>
  <si>
    <t>ZHANG, Tingjun/AAX-3662-2020; Zhong, Xinyue/AAI-1170-2019; Xiao, Xiongxin/T-5537-2018</t>
  </si>
  <si>
    <t>ZHANG, Tingjun/0000-0001-6974-9501; Xiao, Xiongxin/0000-0001-5230-8160</t>
  </si>
  <si>
    <t>10.1016/j.rse.2018.03.008</t>
  </si>
  <si>
    <t>WOS:000431164300005</t>
  </si>
  <si>
    <t>Bair, EH; Calfa, AA; Rittger, K; Dozier, J</t>
  </si>
  <si>
    <t>Bair, Edward H.; Calfa, Andre Abreu; Rittger, Karl; Dozier, Jeff</t>
  </si>
  <si>
    <t>Using machine learning for real-time estimates of snow water equivalent in the watersheds of Afghanistan</t>
  </si>
  <si>
    <t>In the mountains, snowmelt often provides most of the runoff. Operational estimates use imagery from optical and passive microwave sensors, but each has its limitations. An accurate approach, which we validate in Afghanistan and the Sierra Nevada USA, reconstructs spatially distributed snow water equivalent (SWE) by calculating snowmelt backward from a remotely sensed date of disappearance. However, reconstructed SWE estimates are available only retrospectively; they do not provide a forecast. To estimate SWE throughout the snowmelt season, we consider physiographic and remotely sensed information as predictors and reconstructed SWE as the target. The period of analysis matches the AMSR-E radiometer's lifetime from 2003 to 2011, for the months of April through June. The spatial resolution of the predictions is 3.125 km, to match the resolution of a microwave brightness temperature product. Two machine learning techniques - bagged regression trees and feed-forward neural networks - produced similar mean results, with 0-14% bias and 46-48 mm RMSE on average. Nash-Sutcliffe efficiencies averaged 0.68 for all years. Daily SWE climatology and fractional snow-covered area are the most important predictors. We conclude that these methods can accurately estimate SWE during the snow season in remote mountains, and thereby provide an independent estimate to forecast runoff and validate other methods to assess the snow resource.</t>
  </si>
  <si>
    <t>Dozier, Jeff/B-7364-2009</t>
  </si>
  <si>
    <t>Dozier, Jeff/0000-0001-8542-431X</t>
  </si>
  <si>
    <t>MAY 3</t>
  </si>
  <si>
    <t>10.5194/tc-12-1579-2018</t>
  </si>
  <si>
    <t>WOS:000431368300002</t>
  </si>
  <si>
    <t>De Gregorio, L; Callegari, M; Marin, C; Zebisch, M; Bruzzone, L; Demir, B; Strasser, U; Günther, D; Marke, T; Notarnicola, C</t>
  </si>
  <si>
    <t>De Gregorio, Ludovica; Callegari, Mattia; Marin, Carlo; Zebisch, Marc; Bruzzone, Lorenzo; Demir, Begum; Strasser, Ulrich; Guenther, Daniel; Marke, Thomas; Notarnicola, Claudia</t>
  </si>
  <si>
    <t>A NOVEL DATA FUSION TECHNIQUE FOR SNOW PARAMETER RETRIEVAL</t>
  </si>
  <si>
    <t>IGARSS 2018 - 2018 IEEE INTERNATIONAL GEOSCIENCE AND REMOTE SENSING SYMPOSIUM</t>
  </si>
  <si>
    <t>38th IEEE International Geoscience and Remote Sensing Symposium (IGARSS)</t>
  </si>
  <si>
    <t>JUL 22-27, 2018</t>
  </si>
  <si>
    <t>Valencia, SPAIN</t>
  </si>
  <si>
    <t>Inst Elect &amp; Elect Engineers,Inst Elect &amp; Elect Engineers Geoscience &amp; Remote Sensing Soc,European Space Agcy</t>
  </si>
  <si>
    <t>The main idea of this study is the development of an innovative data fusion method through which state-of-theart remotely sensed products and hydrological modelling simulations can be integrated to improve the retrieval and the reliability of snow cover and snow water equivalent mapping. The proposed method is based on a machine learning technique, Support Vector Machine (SVM), and on exploitation of two well-instrumented test-sites in EUREGIO region for the validation. Results show an improvement of performances with respect to single products from remote sensing and model. On EUREGIO scale the accuracy of snow cover mapping obtained from fusion reaches 0.95.</t>
  </si>
  <si>
    <t>Bruzzone, Lorenzo/JPL-7703-2023; Zebisch, Marc/IZP-9454-2023</t>
  </si>
  <si>
    <t>Zebisch, Marc/0000-0002-3530-7219; Notarnicola, Claudia/0000-0003-1968-0125; Callegari, Mattia/0000-0003-1520-1975</t>
  </si>
  <si>
    <t>978-1-5386-7150-4</t>
  </si>
  <si>
    <t>WOS:000451039806010</t>
  </si>
  <si>
    <t>Gatebe, C; Li, W; Chen, N; Fan, YZ; Poudyal, R; Brucker, L; Stamnes, K</t>
  </si>
  <si>
    <t>Gatebe, Charles; Li, Wei; Chen, Nan; Fan, Yongzhen; Poudyal, Rajesh; Brucker, Ludovic; Stamnes, Knut</t>
  </si>
  <si>
    <t>SNOW-COVERED AREA USING MACHINE LEARNING TECHNIQUES</t>
  </si>
  <si>
    <t>In this study, we used an artificial neural network method to estimate the fractional snow cover area (fSCA), which is fast and accurate, and that can be easily adapted to different remote sensing instruments. We tested our approach using SnowEx data from NASA's Cloud Absorption Radiometer (CAR) over Grand Mesa; one of the largest flat-topped mountains in the world, which features sufficient forested stands with a range of density and height (and a variety of other forest conditions); a spread of snow depth/ snow water equivalent conditions over sufficiently flat snow-covered terrain. The retrieved fractional snow-covered area from CAR compares reasonably with a Sentinel-2 image over the same location and demonstrates CAR's unique capability to improve the retrieval of snow properties using machine learning. The retrieved snow fraction parameter from our method is expected to minimize the error associated with the traditional binary snow detection scheme, and improve the retrieval quality of key parameters such as surface albedo.</t>
  </si>
  <si>
    <t>Brucker, Ludovic/ACJ-3763-2022; Gatebe, CK/HJG-4677-2022</t>
  </si>
  <si>
    <t>Fan, Yongzhen/0000-0002-8777-3932</t>
  </si>
  <si>
    <t>WOS:000451039806022</t>
  </si>
  <si>
    <t>Xue, Y; Forman, BA</t>
  </si>
  <si>
    <t>Xue, Yuan; Forman, Barton A.</t>
  </si>
  <si>
    <t>Integration of satellite-based passive microwave brightness temperature observations and an ensemble-based land data assimilation framework to improve snow estimation in forested regions</t>
  </si>
  <si>
    <t>2017 IEEE INTERNATIONAL GEOSCIENCE AND REMOTE SENSING SYMPOSIUM (IGARSS)</t>
  </si>
  <si>
    <t>JUL 23-28, 2017</t>
  </si>
  <si>
    <t>Fort Worth, TX</t>
  </si>
  <si>
    <t>Institute of Elect &amp; Electron Engineers Geoscience &amp; Remote Sensing Soc,IEEE,IEEE GRSS</t>
  </si>
  <si>
    <t>The utilization of a machine learning algorithm-based (i.e., support vector machine [SVM]) model as the observation operator within a one-dimensional ensemble Kalman filter (EnKF) framework for the purpose of improving snow estimates across regional-scales is explored. The multifrequency, multipolarization framework employs an SVM to predict brightness temperature spectral difference (i.e., Delta Tb) between 10.65 GHz, 18.7 GHz and 36.5 GHz as a function of land surface model state information. The EnKF then merges the predictions with observations obtained from the Advanced Microwave Scanning Radiometer (AMSR-E) sensor onboard the Aqua satellite. Case studies are presented for Quebec and Newfoundland, Canada, and several pixels in North America covered with evergreen needle-leaved forest colocated with taiga snow cover type. Model results with and without assimilation were compared against in-situ snow observations as well as state-of-the-art snow products. It is shown that using an atmospheric-forest-decoupling procedure prior to SVM training and prediction activities is useful in enhancing snow characterization. However, without adequate ground-based snow observations, it is still relatively difficult to draw a full conclusion as to the feasibility of the proposed assimilation framework employing the two-step decoupling procedure.</t>
  </si>
  <si>
    <t>Forman, Barton A/0000-0001-6410-9978; Xue, Yuan/0000-0003-0749-6435</t>
  </si>
  <si>
    <t>978-1-5090-4951-6</t>
  </si>
  <si>
    <t>WOS:000426954600081</t>
  </si>
  <si>
    <t>Comparison of passive microwave brightness temperature prediction sensitivities over snow-covered land in North America using machine learning algorithms and the Advanced Microwave Scanning Radiometer</t>
  </si>
  <si>
    <t>Recent studies showed that machine learning (ML) algorithms (e.g., artificial neural network (ANN) and support vector machine (SVM)) reasonably reproduce passive microwave brightness temperature observations over snow-covered land as measured by the Advanced Microwave Scanning Radiometer (AMSR-E). However, these studies did not explore the sensitivities of the ML algorithms relative to ML inputs in order to determine the behavior and performance of each algorithm. In this current study, normalized sensitivity coefficients are computed to diagnose ML performance as a function of time and space. The results showed that when using the ANN, approximately 20% of locations across North America are relatively sensitive to snow water equivalent (SWE). However, more than 65% of locations in the SVM-based brightness temperature (Tb) estimates are sensitive relative to perturbations in SWE at all frequency and polarization combinations explored in this study. Further, the SVM-based results suggest the algorithm is sensitive in both shallow and deep SWE, SWE with and without overlying forest canopy, and during both the snow accumulation and snow ablation seasons. Therefore, these findings suggest that compared with the ANN, the SVM could potentially serve as a more efficient and effective measurement model operator within a Tb data assimilation framework for the purpose of improving SWE estimates across regional- and continental-scales. (C) 2015 Elsevier Inc. All rights reserved.</t>
  </si>
  <si>
    <t>10.1016/j.rse.2015.09.009</t>
  </si>
  <si>
    <t>WOS:000364726100014</t>
  </si>
  <si>
    <t>Dobreva, ID; Klein, AG</t>
  </si>
  <si>
    <t>Dobreva, Iliyana D.; Klein, Andrew G.</t>
  </si>
  <si>
    <t>Fractional snow cover mapping through artificial neural network analysis of MODIS surface reflectance</t>
  </si>
  <si>
    <t>Accurate areal measurements of snow cover extent are important for hydrological and climate modeling. The traditional method of mapping snow cover is binary where a pixel is considered either snow-covered or snow-free. Fractional snow cover (FSC) mapping can achieve a more precise estimate of areal snow cover extent by estimating the fraction of a pixel that is snow-covered. The most common snow fraction methods applied to Moderate Resolution Imaging Spectroradiometer (MODIS) images have been spectral unmixing and an empirical Normalized Difference Snow Index (NDSI). Machine learning is an alternative for estimating FSC as artificial neural networks (ANNs) have been successfully used for estimating the subpixel abundances of other surfaces. The advantages of ANNs are that they can easily incorporate auxiliary information such as land cover type and are capable of learning nonlinear relationships between surface reflectance and snow fraction. ANNs are especially applicable to mapping snow cover extent in forested areas where spatial mixing of surface components is nonlinear. This study developed a multilayer feed-forward ANN trained through backpropagation to estimate FSC using MODIS surface reflectance, NDSI, Normalized Difference Vegetation Index (NDVI) and land cover as inputs. The ANN was trained and validated with higher spatial-resolution FSC maps derived from Landsat Enhanced Thematic Mapper Plus (ETM+) binary snow cover maps. Testing of the network was accomplished over training and independent test areas. The developed network performed adequately with RMSE of 12% over training areas and slightly less accurately over the independent test scenes with RMSE of 14%. The developed ANN also compared favorably to the standard MODIS FSC product. The study also presents a comprehensive validation of the standard MODIS snow fraction product whose performance was found to be similar to that of the ANN. (C) 2011 Elsevier Inc. All rights reserved.</t>
  </si>
  <si>
    <t>Klein, Anew/AGK-9609-2022</t>
  </si>
  <si>
    <t>Klein, Anew/0000-0003-3804-8205</t>
  </si>
  <si>
    <t>DEC 15</t>
  </si>
  <si>
    <t>10.1016/j.rse.2011.07.018</t>
  </si>
  <si>
    <t>WOS:000298311300033</t>
  </si>
  <si>
    <t>Chen, CT; Nijssen, B; Wang, YK; Tsang, L; Hwang, JN; Lettenmaier, DP</t>
  </si>
  <si>
    <t>Stein, TI</t>
  </si>
  <si>
    <t>Mapping the spatial distribution and time evolution or snow water equivalent using neural network iterative approach and a snow hydrology model</t>
  </si>
  <si>
    <t>IGARSS '98 - 1998 INTERNATIONAL GEOSCIENCE AND REMOTE SENSING SYMPOSIUM, PROCEEDINGS VOLS 1-5: SENSING AND MANAGING THE ENVIRONMENT</t>
  </si>
  <si>
    <t>IEEE International Symposium on Geoscience and Remote Sensing (IGARSS)</t>
  </si>
  <si>
    <t>1998 International Geoscience and Remote Sensing Symposium (IGARSS 98) on Sensing and Managing the Environment</t>
  </si>
  <si>
    <t>JUL 06-10, 1998</t>
  </si>
  <si>
    <t>SEATTLE, WA</t>
  </si>
  <si>
    <t>IEEE, Geosci &amp; Remote Sensing Soc,Univ Washington,NASA,NOAA,USN, Off Naval Res,Natl Space Dev Agcy Japan,Int Union Radio Sci</t>
  </si>
  <si>
    <t>The estimation of snow parameters by using passive microwave remote sensing data such as SSMR and SSM/I has been studied for many years. In previous parameter retrieval using passive remote sensing, the techniques have been largely limited to using linear regression relationships between measurements and one snow parameter, such as snow-water equivalent. However, the brightness temperatures are not only influenced by snow-water equivalent, but also by snow-grain size, snow temperature, and snow density. Thus, it is important to develop a multi-parametric inversion algorithm using multi-frequency and dual polarization measurements. In this paper, we use a neural network iterative approach for parameter inversion in combination with a snow hydrology model for a priori estimates. The neural network (NN) approach is used to invert the parameters from the measurements for computational efficiency. In the scheme of forward neural network iterative inversion, the initial guesses of snow parameters are given by a physically based snow hydrology model which uses a priori information of weather data as input. The results of applying the algorithm to the Northern Hemisphere are illustrated.</t>
  </si>
  <si>
    <t>Nijssen, Bart/B-1013-2012; lettenmaier, dennis/T-3088-2017</t>
  </si>
  <si>
    <t>0-7803-4403-0</t>
  </si>
  <si>
    <t>WOS:000075217100408</t>
  </si>
  <si>
    <t>Jiang, YJ; Akbar, Z; Webb, R; Binbin, Z; Anwar, A; Rehman, MM; Mirza, MZ</t>
  </si>
  <si>
    <t>Jiang, Yuanjun; Akbar, Zohaib; Webb, Ryan; Binbin, Zhao; Anwar, Aftab; Rehman, M. M.; Mirza, M. Z.</t>
  </si>
  <si>
    <t>Deep-learning full-waveform inversion of snowpack GPR: joint permittivity-resistivity imaging for snow-soil hydrological mapping</t>
  </si>
  <si>
    <t>Precise characterization of snowpacks is vital for cryosphere monitoring, avalanche forecasting, and hydrological modeling. Ground-penetrating radar (GPR) offers high-resolution, non-invasive imaging of subsurface electrical properties. Among the inversion techniques used with GPR, full-waveform inversion (FWI) provides detailed modeling but is computationally expensive and highly sensitive to initial conditions, limiting its practical use in real-time snow studies. Recent advances in deep learning offer data-driven alternatives; however, standard regression-based algorithms, including convolutional and other purely feedforward models, often struggle to generalize in laterally heterogeneous snowpacks. The objective of the study is to introduce a hybrid deep learning framework that combines vision transformers (ViT) with bidirectional long short-term memory (BiLSTM) networks for dual-parameter inversion of permittivity and log-resistivity from GPR data. The ViT module captures global full waveforms dependencies, while BiLSTM ensures temporal continuity between traces, preserving both vertical and lateral subsurface structure. Synthetic datasets were generated using gprMax through finite-difference time-domain (FDTD) simulations, including dry, moist, and wet snowpack conditions with underlying soil layers, for model training and evaluation. The proposed model achieved robust performance metrics on synthetic 2D datasets, with R2 = 0.984, SSIM = 0.97, and RMSE = 0.066 for permittivity, and R2 = 0.966, SSIM = 0.94, and RMSE = 0.086 for log-resistivity. Further model is applied to real-world field GPR data, which produced spatially coherent snow and soil moisture maps, yielding snow liquid water content of 2%-4% and soil moisture estimates of 15%-26%, in strong agreement with in situ snowpit observations. These findings demonstrate that the ViT-BiLSTM framework enables fast, physically consistent dual-parameter inversion, offering a scalable solution for operational snow hydrology, meltwater prediction, and cryospheric monitoring.</t>
  </si>
  <si>
    <t>Webb, Ryan/X-1122-2018; Anwar, Engr. Aftab/OJT-2116-2025</t>
  </si>
  <si>
    <t>10.1016/j.jhydrol.2026.135374</t>
  </si>
  <si>
    <t>WOS:001732279600001</t>
  </si>
  <si>
    <t>Rai, A; Barros, AP</t>
  </si>
  <si>
    <t>Rai, Ashwani; Barros, Ana P.</t>
  </si>
  <si>
    <t>Quantifying Snow-Ground Backscatter Uncertainty: A Bayesian Approach Using Multifrequency SAR and In-Situ Observations</t>
  </si>
  <si>
    <t>Accurate estimation of snowpack microwave backscatter is critical for retrieving key physical properties of snow, such as snow depth (SD) and snow water equivalent (SWE), typically modeled using radiative transfer models (RTM). Among the various sources of uncertainty in RTM simulations, snow-ground reflectivity-used as a boundary condition-plays a critical role in influencing the accuracy of simulated backscatter. This study leverages high-resolution X- and Ku-band synthetic aperture radar (SAR) backscatter aircraft measurements using SWESARR and SnowSAR from NASA's SnowEx campaigns, co-located with in situ snow pit observations in Grand Mesa, Colorado, and uses a Bayesian MCMC parameter optimization model with RTM framework to estimate the key ground parameters such as surface roughness, moisture content, and specular-to-total reflectivity ratio (STRR) governing the estimation of the snow-ground reflectivity and quantify the uncertainties associated with them. At the X-band, increasing ground surface roughness reduced the simulated backscatter by similar to 1.5 dB across the tested range, increasing the STRR produced an additional similar to 1.0 dB decrease while the dielectric properties of the ground are highly sensitive to the moisture content of frozen soil, and increasing the moisture content even by 2% increased the backscatter by 2-3 dB. The retrieval sensitivity to the STRR is minimized in the 0.6-0.7 range and it can be fixed at 0.65 without having discernible impact. The Bayesian inversion reveals that the extreme parameter values act as diagnostic indicators of unmodeled complexity rather than retrieval failures, with representativeness error often dominating over instrument noise. The study provides a robust methodology for the estimation of the snow-ground backscatter boundary condition for forward modeling, ultimately aiding SWE and SD retrieval from active microwave observations. While this study relied on Grand Mesa, the framework developed here is general and, along with the model uncertainty, is directly transferable and broadly applicable to other snow-dominated mountain regions where active microwave observations can be used for snowpack monitoring.</t>
  </si>
  <si>
    <t>Barros, Ana/A-3562-2011</t>
  </si>
  <si>
    <t>FEB 18</t>
  </si>
  <si>
    <t>10.3390/rs18040634</t>
  </si>
  <si>
    <t>WOS:001702373100001</t>
  </si>
  <si>
    <t>Zhang, C; Jiang, LM; Pan, JM; Yang, JW; Wang, J; Jin, ZY</t>
  </si>
  <si>
    <t>Zhang, Cheng; Jiang, Lingmei; Pan, Jinmei; Yang, Jianwei; Wang, Jian; Jin, Zongyi</t>
  </si>
  <si>
    <t>Daily seamless 30-m fractional snow cover mapping via an adaptive Time-Series approach</t>
  </si>
  <si>
    <t>Accurate daily mapping of 30-m fractional snow cover (FSC) is critical for hydrological modeling and disaster assessment. Frequent cloud cover and satellite revisit cycles create significant data gaps in high-resolution optical imagery (e.g., Landsat, Sentinel-2), hindering the continuous monitoring of rapid snow dynamics. To address these limitations, we propose the Time-series-based Adaptive snow-Fraction Fusion (TAFF) framework for generating seamless daily 30-m FSC over large scales. The core of TAFF is a dual-path fusion strategy that adapts to the physical state of the snowpack. First, a time-series-based snow stability assessment gauges the magnitude of temporal FSC change. This assessment then directs the fusion process: stable snow is processed using time-weighted fusion, while rapidly changing snow is handled by a pixel-level regression. Evaluated over the Qinghai-Tibet Plateau, TAFF demonstrates robust improvements over established spatiotemporal fusion algorithms, particularly under cloudy conditions. Independent validation against 215 Landsat 8 images yielded strong performance (R2 = 0.76, RMSE = 19.58 %). Further validation against 46 in-situ snow depth stations indicated a high binary classification accuracy of 0.91. As a robust and practical method for large-scale FSC mapping, TAFF shows promise for integrating additional data sources, such as geostationary and microwave sensors, to enhance the high-resolution monitoring of ephemeral snow.</t>
  </si>
  <si>
    <t>10.1016/j.jag.2025.105068</t>
  </si>
  <si>
    <t>JAN 2026</t>
  </si>
  <si>
    <t>WOS:001662557200001</t>
  </si>
  <si>
    <t>Li, XD; Xiong, C</t>
  </si>
  <si>
    <t>Li, Xudong; Xiong, Chuan</t>
  </si>
  <si>
    <t>Accelerating Numerical Electromagnetic Scattering Models for Snow Microwave Emission Using Machine Learning Surrogates</t>
  </si>
  <si>
    <t>Accurate retrieval of snow properties such as snow depth (SD) and snow water equivalent (SWE) from passive microwave remote sensing requires robust physical models that can simulate the interactions between microwave and snow microstructure. The bicontinuous model has demonstrated high fidelity in characterizing snow microstructure, but its high computational cost limits its practical application. In this study, we develop a fast surrogate model, dense media radiative transfer theory with a neural-network-accelerated bicontinuous model (DMRT-Bic-NN), by training artificial neural networks (ANNs) on a training dataset generated from bicontinuous model simulations, thereby reducing the runtime for processing a representative case from approximately 20.1 h with the original DMRT-Bic model to about 0.54 s. Cross validation demonstrates that the trained model accurately reproduces snow scattering parameters at the three key frequencies (10.65, 18.7, and 36.5 GHz). Using snowpit data from the Altay snow experiment and Nordic Snow Radar Experiment (NoSREx), combined with the snow grain size ( D-max ) conversion formula and optimized scaling coefficients, we comprehensively validate the DMRT-Bic-NN model. The results show that the simulated brightness temperatures ( T-B ) exhibit root-mean-square error (RMSE) of approximately 3.4 and 4.67 K for the Altay snow experiment and NoSREx, respectively. The sensitivity analysis reveals that the simulated T-B of DMRT-Bic-NN, DMRT based on the quasi-crystalline approximation (QCA) for Mie scattering of densely packed Sticky spheres (DMRT-QMS) model, and the microwave emission model of layered snowpacks (MEMLS) models respond similar to variations in snow grain size, although the magnitudes of their responses differ. For variations in snow density, the models exhibit distinct responses in T-B , both in terms of the overall trend and the magnitude of the change. The simulated analysis of T-B frequency differences suggests that, within the scope of the validation data and experimental configuration adopted in this study, the DMRT-Bic-NN model yields average unbiased RMSE (ubRMSE) values of 2.85 and 5.45 K for V- and H-polarizations, respectively, with marginally lower errors than the DMRT-QMS and MEMLS models. The frequency dependence tests show that the DMRT-Bic-NN model produces a weaker frequency dependence, which aligns more closely with experimental observations. This study highlights the potential of combining numerical electromagnetic models and machine learning to enhance the speed and performance of snow radiative transfer simulations.</t>
  </si>
  <si>
    <t>10.1109/TGRS.2026.3658678</t>
  </si>
  <si>
    <t>WOS:001687347500021</t>
  </si>
  <si>
    <t>Chen, WF; Gu, LJ; Li, XF; Fan, XT</t>
  </si>
  <si>
    <t>Chen, Wenfei; Gu, Lingjia; Li, Xiaofeng; Fan, Xintong</t>
  </si>
  <si>
    <t>Snow depth estimation in Northeast China based on space-borne scatterometer data and ML model with optimal features</t>
  </si>
  <si>
    <t>Real-time snow depth (SD) monitoring is crucial for water resource management, weather forecasting, and environmental research. Current SD estimation methods primarily rely on passive microwave or synthetic aperture radar (SAR) technologies. As an active microwave sensor, the HaiYang-2B (HY-2B) spaceborne scatterometer with a Ku-band is used for wind field assessment and polar sea ice detection. This study explores its application to SD estimation in Northeast China. Multiple machine learning (ML) models, including support vector regression (SVR), k-nearest neighbors (KNN), XGBoost, and random forest (RF), were deployed and contrasted for SD estimation. The multiple correlation coefficient feature selection (MCCFS) algorithm proposed in this study can effectively eliminate redundant features by retaining the features that have the most significant impact on SD estimation. Furthermore, feature ablation experiments were conducted to obtain the optimal features. In comparison to the public SD product and the ground-based SD measurements, the experimental results using the RF model with optimal features demonstrate superior SD estimation performance, yielding a root mean square error (RMSE) of 3.91 cm, mean absolute error (MAE) of 2.27 cm, and an R2 of 0.80. This study indicates that spaceborne scatterometer data hold promise for SD estimation in snow monitoring applications.</t>
  </si>
  <si>
    <t>10.1080/17538947.2025.2470851</t>
  </si>
  <si>
    <t>WOS:001434174300001</t>
  </si>
  <si>
    <t>Akbar, Z; Jiang, YJ; Webb, R; Klotzsche, A; Zhu, YJ; Anwar, A; Rehman, MM</t>
  </si>
  <si>
    <t>Akbar, Zohaib; Jiang, Yuanjun; Webb, Ryan; Klotzsche, Anja; Zhu, Yuanjia; Anwar, Aftab; Rehman, Muhammad Mudassar</t>
  </si>
  <si>
    <t>Machine learning-based dual-parameter inversion for estimating snowpack liquid water content and density using common offset GPR data</t>
  </si>
  <si>
    <t>SCIENCE CHINA-EARTH SCIENCES</t>
  </si>
  <si>
    <t>Accurate assessment of snowpack volumetric liquid water content and bulk density is essential for understanding snow hydrology, avalanche risk management, and monitoring cryosphere changes. This study presents a novel dual-parameter inversion framework that integrates synthetic electromagnetic modelling, dimensionality reduction, and machine learning algorithms to extract relative permittivity and log-resistivity from ground-penetrating radar (GPR) data. Traditional snowpack measurements are invasive, labor-intensive, and limited to point observations. To overcome these limitations, we developed a non-invasive, scalable, and data-driven framework that uses synthetic GPR datasets representing diverse snowpack conditions with variable moisture and density profiles. Synthetic 1D time series reflections (A-scans) are generated using finite-difference time-domain simulations in the state-of-the-art electromagnetic simulator gprMax. Principal component analysis (PCA) is applied to compress each A-scan while preserving key features, which significantly improved and enhanced the model training efficiency. Four machine learning models, including random forest, neural network, support vector machine, and eXtreme gradient boosting, are trained on PCA-reduced features. Among these, the neural network model achieved the best performance, with R-2&gt;0.97 for permittivity and R-2&gt;0.92 for resistivity. Gaussian noise (signal-to-noise ratio of 6 dB) is introduced to the synthetic data, and then targeted domain adaptation is employed to enhance generalization to field data. The framework is validated on two contrasting GPR transects in the Altay Mountains of the Chinese mainland, representing moist (T750) and wet (G125) snowpack conditions. The neural network model predictions are most consistent with the GPR derived estimates, Snowfork measurements, and snow pit data, achieving volumetric liquid water content deviation of &lt;= 1.5% and bulk density error within the range of 30-84 kg m(-3). The results demonstrate that machine learning-based inversion, supported by realistic simulations and data augmentation enables scalable, non-invasive snowpack characterization with significant applications in hydrological forecasting, snow monitoring, and water resource management.</t>
  </si>
  <si>
    <t>Klotzsche, Anja/AAV-9893-2021; Webb, Ryan/X-1122-2018; Anwar, Aftab/OJT-2116-2025</t>
  </si>
  <si>
    <t>, Zohaib Akbar/0009-0004-5731-3240; Anwar, Aftab/0009-0000-3860-6970</t>
  </si>
  <si>
    <t>1674-7313</t>
  </si>
  <si>
    <t>1869-1897</t>
  </si>
  <si>
    <t>10.1007/s11430-025-1764-7</t>
  </si>
  <si>
    <t>DEC 2025</t>
  </si>
  <si>
    <t>WOS:001642978200001</t>
  </si>
  <si>
    <t>Hossan, A; Colliander, A; Schlegel, NJ; Harper, J; Andrews, L; Kolassa, J; Miller, J; Cullather, R</t>
  </si>
  <si>
    <t>Hossan, Alamgir; Colliander, Andreas; Schlegel, Nicole-Jeanne; Harper, Joel; Andrews, Lauren; Kolassa, Jana; Miller, Julie Z.; Cullather, Richard</t>
  </si>
  <si>
    <t>Evaluation of wet snow dielectric mixing models for L-band radiometric measurement of liquid water content in Greenland's percolation zone</t>
  </si>
  <si>
    <t>The effective permittivity of wet snow and firn links the snow microphysics to its radiometric signature, making it essential for accurately estimating the liquid water amount (LWA) in the snowpack. Here, we compare ten commonly used microwave dielectric mixing models for estimating LWA in wet snow and firn using L-band radiometry. We specifically focus on the percolation zone of the Greenland Ice Sheet (GrIS), where the average volume fraction of liquid water is between 0 % and 6 %. We used L-band brightness temperature (TB) observations from the NASA Soil Moisture Active Passive (SMAP) mission in an inversion-based framework to estimate LWA, applying different dielectric mixing formulations in the forward simulation. We compared the effective permittivities of the mixing models over a range of conditions and evaluated their impact on the LWA retrieval. We also compared the LWA retrievals to the corresponding LWA from two state-of-the-art Surface Energy and Mass Balance (SEMB) models. Both SEMB models were forced with in situ measurements from automatic weather stations (AWS) of the Programme for Monitoring of the Greenland Ice Sheet (PROMICE) and Greenland Climate Network (GC-Net) located in the percolation zone of the GrIS and initialized with relevant in situ profiles of density, stratigraphy, and sub-surface temperature measurements. The results show that the mixing models produce substantially different real and imaginary parts of the dielectric constant, significantly impacting the LWA retrieved from the TB. The correspondence with the SEMB-derived LWA varied by model and site, with correlation coefficients ranging from 0.67 to 0.98 and RMSD values between 5.4 and 23.9 mm. Overall, the power law-based empirical models demonstrated better performance for 2023 melt season. The analysis supports informed selection of dielectric mixing models for improved LWA retrieval accuracy.</t>
  </si>
  <si>
    <t>Hossan, Alamgir/AAM-6874-2021; Colliander, Andreas/M-9864-2018</t>
  </si>
  <si>
    <t>Hossan, Alamgir/0000-0003-0605-0976; Miller, Julie Z/0000-0003-1452-1627; Schlegel, Nicole-Jeanne/0000-0001-8035-448X; Kolassa, Jana/0000-0001-6644-8789;</t>
  </si>
  <si>
    <t>NOV 21</t>
  </si>
  <si>
    <t>10.5194/tc-19-6077-2025</t>
  </si>
  <si>
    <t>WOS:001620306600001</t>
  </si>
  <si>
    <t>Wei, YL; Li, XF; Gu, LJ; Zheng, ZJ; Shi, YJ; Li, YJ; Zheng, XM; Jiang, T</t>
  </si>
  <si>
    <t>Wei, Yanlin; Li, Xiaofeng; Gu, Lingjia; Zheng, Zhaojun; Shi, Yingjie; Li, Yijing; Zheng, Xingming; Jiang, Tao</t>
  </si>
  <si>
    <t>Enhancing snow depth estimation in forested regions of the northern hemisphere: A physically-constrained machine learning approach with spatiotemporal dynamics</t>
  </si>
  <si>
    <t>ISPRS JOURNAL OF PHOTOGRAMMETRY AND REMOTE SENSING</t>
  </si>
  <si>
    <t>Snow cover is a crucial factor in climate change and water resource management, particularly in forested regions, which affects vegetation carbon stocks by regulating local hydrological and temperature conditions. However, accurate snow depth (SD) estimation in forested regions remains significantly challenging because of the dual effects of forest canopy attenuation and radiation. To address this issue, a novel machine learning (ML) framework model by coupling microwave radiative transfer model (RTM) was proposed for SD retrieval in the forested regions of the Northern Hemisphere (NH), named the RTM-ML SD model. The physical mechanisms of forest-snow radiative transfer were incorporated into the ML model by introducing physically constrained brightness temperatures (TBs) that capture the radiative contributions of snow cover and forest canopy within the satellite field of view. Additionally, the spatiotemporal dynamic modeling strategy was implemented to ensure RTM-ML SD model flexibility and stability across different regions and seasons. Independent validations revealed that the retrieved SDs suitably agreed with in situ ground observations, with high correlation (R = 0.88) and low uncertainties (RMSE = 14.98 cm, MAE = 8.44 cm, and bias = - 1.46 cm), which are 8.0 % and 6.1 % lower, respectively, than those without introducing the RTM and spatiotemporal dynamic modeling strategy. Compared with that of well-known SD products and inversion algorithms (Chang, AMSR2, ERA5-Land, and Globsnow), the SD inversion accuracy increased by more than 50 %, effectively mitigating SD underestimation in forested regions. Overall, we conclude that 1) the impact of forest canopies on SD retrieval is complex, and the physical knowledge of forest-snow radiative transfer should be considered in SD estimation, and 2) the RTM-ML SD model exhibits notable temporal and spatial generalizability in the forested regions of the NH, thereby enhancing its capacity to support large-scale environmental monitoring, enable more reliable seasonal water resource forecasting, and inform climate adaptation strategies in snow-dependent regions.</t>
  </si>
  <si>
    <t>Gu, Lingjia/0000-0002-4909-2263; ZHENG, Zhaojun/0000-0002-7331-1905; Li, Xiaofeng/0000-0002-1799-844X</t>
  </si>
  <si>
    <t>0924-2716</t>
  </si>
  <si>
    <t>1872-8235</t>
  </si>
  <si>
    <t>10.1016/j.isprsjprs.2025.11.006</t>
  </si>
  <si>
    <t>NOV 2025</t>
  </si>
  <si>
    <t>WOS:001618601300001</t>
  </si>
  <si>
    <t>Welch, JJ; Kelly, REJ</t>
  </si>
  <si>
    <t>Welch, Jeffrey J.; Kelly, Richard E. J.</t>
  </si>
  <si>
    <t>A prototype passive microwave retrieval algorithm for tundra snow density</t>
  </si>
  <si>
    <t>Snow density data are important for a variety of applications, yet, to our knowledge, there are few methods for estimating spatiotemporal varying snow density in the Arctic environment. This research proposes a passive microwave retrieval algorithm to estimate tundra snow density. A two-layer electromagnetic snowpack model, representing depth hoar underlaying a wind slab layer, was used to estimate microwave emissions for use in an inverse model to estimate snow density. The proposed algorithm is predicated on solving the inverse model at boundary conditions for the simulated layers to estimate snow density within a plausible range. An experiment was conducted to assess the algorithm's ability to reproduce snow density estimates from snow courses at four sites in the Canadian high Arctic. The electromagnetic snowpack model was calibrated to end-of-season conditions at each study site and a novel temporal parameterization was used to expand algorithm retrievals over full winter seasons. Algorithm estimates have the potential, under ideal conditions, to provide snow density information comparable to that collected through in situ sampling. In its current configuration, algorithm performance was best later in the season, with mean absolute percentage error approaching 10 % towards the end-of-season indicating snow density estimation uncertainty was similar to the in situ samples. With some modifications, and more extensive forcing data, this algorithm could be applied across the pan-Arctic to provide snow density information at scales that are not currently available.</t>
  </si>
  <si>
    <t>Kelly, Richard/0000-0001-8076-7604</t>
  </si>
  <si>
    <t>OCT 30</t>
  </si>
  <si>
    <t>10.5194/tc-19-5259-2025</t>
  </si>
  <si>
    <t>WOS:001604201900001</t>
  </si>
  <si>
    <t>Meloche, J; Leroux, NR; Montpetit, B; Vionnet, V; Derksen, C</t>
  </si>
  <si>
    <t>Meloche, Julien; Leroux, Nicolas R.; Montpetit, Benoit; Vionnet, Vincent; Derksen, Chris</t>
  </si>
  <si>
    <t>Radar-equivalent snowpack: reducing the number of snow layers while retaining their microwave properties and bulk snow mass</t>
  </si>
  <si>
    <t>Snow water equivalent (SWE) retrieval from Ku-band radar measurements is possible with complex retrieval algorithms involving prior information on the snowpack microstructure and a microwave radiative transfer model to link backscatter measurements to snow properties. A key variable in a retrieval is the number of snow layers, with more complex layering yielding richer information but at an increased computational cost and number of unknowns. Here, we show the capabilities of a new method to simplify a complex multilayered snowpack to two to three layers while nearly preserving the microwave scattering behavior of the snowpack and conserving the bulk snow water equivalent. This method, called radar-equivalent snowpack, is based on a k-means clustering algorithm to group the snow layers based on the extinction coefficient and a weighted average using the optical thickness applied to the snow properties. We evaluated our method using snow properties from simulations of the Soil, Vegetation and Snow version 2 (SVS-2)/Crocus physical snow model at 11 sites spanning a large variety of climates across the world and the Snow Microwave Radiative Transfer model to calculate backscatter at 17.25 GHz. The layer simplification is done as an intermediate step between the physical modeling (SVS-2/Crocus) and the microwave radiative transfer (Snow Microwave Radiative Transfer Model - SMRT). Grouping and averaging snow stratigraphy into three layers effectively reproduced the total snowpack backscatter of multilayered snowpacks, with an overall root mean squared error of 0.5 dB and R2=0.98. Using this methodology in SWE retrieval applications, this method can be used to simplify snowpacks and reduce the number of variables to optimize while maintaining similar scattering behavior without compromising the modeled snowpack properties. A reduction in the mathematical complexity of SWE retrieval cost functions and a reduction in computation of up to 80 % can be gained by using fewer layers in the SWE retrieval.</t>
  </si>
  <si>
    <t>Vionnet, Vincent/F-5446-2018</t>
  </si>
  <si>
    <t>Vionnet, Vincent/0000-0002-9142-9739</t>
  </si>
  <si>
    <t>AUG 7</t>
  </si>
  <si>
    <t>10.5194/tc-19-2949-2025</t>
  </si>
  <si>
    <t>WOS:001545179200001</t>
  </si>
  <si>
    <t>Gonzalez, R; Kummerow, CD</t>
  </si>
  <si>
    <t>Gonzalez, Ryan; Kummerow, Christian D.</t>
  </si>
  <si>
    <t>Improving Satellite Snowfall Magnitudes in the Western United States Using Machine Learning and SWE Reanalysis</t>
  </si>
  <si>
    <t>Seasonal snow accumulation plays a fundamental role in the snow life cycle by modulating the magnitude and timing of snow ablation. Spaceborne passive microwave (PMW) retrieval algorithms offer a unique vantage point to estimate snowfall but have known issues in regions with complex terrain that lead to a poor description of snowfall within the mountains. First, using data from the western U.S. snow water equivalent (SWE) reanalysis (WUS-SR) product, we show the water year (WY) snowfall accumulation from the Multi-Radar Multi-Sensor (MRMS) system does not produce the expected magnitudes or spatial patterns of snowfall accumulation in the western United States. It was found that a domainwide scale factor of 1.5 must be applied to the MRMS to better represent WY snowfall accumulation. Second, three Goddard profiling algorithm (GPROF) models, including one Bayesian (GPROF V7) and two machine learning (GPROF-NN 1D and GPROF-NN 3D), are used to estimate snowfall. GPROF-NN 3D achieved the highest correlation of 0.62 and lowest RMSE of 0.063 mm h-1 compared to GPROF V7 with a correlation (RMSE) of 0.4 (0.072 mm h-1). The incorporation of snow climatology information into the retrieval database reduces the error in WY2016 snowfall accumulations by 16%, 34%, and 14% for GPROF V7, GPROF-NN 1D, and GPROF-NN 3D, respectively, compared to the WUS-SR. Additionally, the retrievals using the snowfall climatology show a reduction in the bias (RMSE) of up to 175 mm per WY (150 mm per WY) against independent SNOTEL observations. These results provide a positive outlook for PMW snowfall estimates in mountainous regions with a retrieval database concept that could be extended to global mountains.</t>
  </si>
  <si>
    <t>10.1175/JHM-D-24-0148.1</t>
  </si>
  <si>
    <t>WOS:001656245200002</t>
  </si>
  <si>
    <t>Dumont, ZB; Gascoin, S; Inglada, J; Dietz, A; Köhler, J; Lafaysse, M; Monteiro, D; Carmagnola, C; Bayle, A; Dedieu, JP; Hagolle, O; Choler, P</t>
  </si>
  <si>
    <t>Barrou Dumont, Zacharie; Gascoin, Simon; Inglada, Jordi; Dietz, Andreas; Koehler, Jonas; Lafaysse, Matthieu; Monteiro, Diego; Carmagnola, Carlo; Bayle, Arthur; Dedieu, Jean-Pierre; Hagolle, Olivier; Choler, Philippe</t>
  </si>
  <si>
    <t>Trends in the annual snow melt-out day over the French Alps and Pyrenees from 38 years of high-resolution satellite data (1986-2023)</t>
  </si>
  <si>
    <t>Information on the spatial-temporal variability of seasonal snow cover duration over long time periods is critical for studying the responses of mountain ecosystems to climate change. However, this information is often lacking due to the sparse distribution of in situ observations or the lack of adequate remote sensing products. Here, we combined snow cover data from 10 different optical platforms, i.e. SPOT (Satellites Pour l'Observation de la Terre) 1-5, Landsat 5-8, and Sentinel-2A and Sentinel-2B, to build a time series of the annual snow melt-out day (SMOD, i.e. the first day of no snow cover) at 20 m resolution across the French Alps and Pyrenees (43 x 103 km2). We evaluated the pixel-wise accuracy of the computed SMOD using in situ snow measurements at 276 stations. We found that the residuals are unbiased (median error of 1 d) despite a dispersion (RMSE of 28 d), which suggests that this dataset can be used to study SMOD trends after spatial aggregation. We found average reductions of 21.4 d (5.78 dperdecade) over the French Alps and 16 d (4.33 dperdecade) over the Pyrenees over the period 1986-2023. The SMOD reduction is robust and significant in most parts of the French Alps and can reach 1 month above 3000 m. The trends are less consistent and more spatially variable in the Pyrenees. This dataset is available for future studies of mountain ecosystem changes and is updated every year using Sentinel-2 data.</t>
  </si>
  <si>
    <t>barrou dumont, zacharie/A-7270-2008; /B-4502-2018; Bayle, Arthur/GPW-7122-2022; Gascoin, Simon/J-7848-2012; Hagolle, Olivier/AAT-2050-2021; CHOLER, Philippe/A-7270-2008</t>
  </si>
  <si>
    <t>barrou dumont, zacharie/0009-0004-9515-5757; Bayle, Arthur/0000-0002-3442-0789; Monteiro, Diego/0000-0002-7702-3644; Gascoin, Simon/0000-0002-4996-6768; Köhler, Jonas/0000-0001-6086-2364; CHOLER, Philippe/0000-0002-9062-2721</t>
  </si>
  <si>
    <t>JUL 4</t>
  </si>
  <si>
    <t>10.5194/tc-19-2407-2025</t>
  </si>
  <si>
    <t>WOS:001522230600001</t>
  </si>
  <si>
    <t>Yang, KH; Painter, TH; Deems, JS; Molotch, NP</t>
  </si>
  <si>
    <t>Yang, Kehan; Painter, Thomas H.; Deems, Jeffrey S.; Molotch, Noah P.</t>
  </si>
  <si>
    <t>Bias correction for near-real-time estimation of snow water equivalent using machine learning algorithms: A case study in the Tuolumne River basin, California</t>
  </si>
  <si>
    <t>Accurately estimating snow water equivalent (SWE) in near-real-time is important for water resources management and water supply forecasting in snow-dominant regions. However, conventional SWE estimation approaches have large uncertainties in mountainous regions due to complex terrain, snow-vegetation interactions, and other challenging factors. This study develops a SWE bias correction framework (SWE-BCF) that utilizes the Airborne Snow Observatories (ASO) SWE data and machine learning (ML) algorithms to correct biases in a near-real-time SWE estimation linear regression model (LRM). The spatial distribution of LRM SWE residuals, which are estimated using the ASO SWE, is explicitly modeled using multiple ML algorithms and evaluated using a leave-one-out cross-validation (LOOCV) workflow. A wide range of commonly used ML algorithms is examined to model LRM SWE residuals, including Gaussian Process Regression (GPR), Support Vector Machine (SVM), Bayesian Regularized Neural Networks (BRNN), Random Forest (RF), and Gradient Boosting Machine (GBM). The results show that all ML algorithms substantially improve LRM SWE estimation accuracy. While the KruskalWallis test indicates no significant difference (p-value &gt;0.05) among the bias correction models, the RF model outperforms others, with the highest median R-2 (0.89), the lowest median RMSE (69 mm), MAE (41 mm), and NRMSE (37.4 %), as well as the second-best median PBIAS (-6.6 %) in the LOOCV for correcting SWE bias. Four performance metrics (R-2, MAE, RMSE, NRMSE) show significant improvements (p-value &lt;0.05) over the original LRM model, highlighting the effectiveness of SWE-BCF in correcting the spatial patterns of SWE. However, the correction in the basin-wide average SWE, as indicated by the PBIAS values, exhibits high variance and does not show significant improvement (p-value &gt;0.05). Among the three land cover types in the Upper Tuolumne River Basin, the alpine area showed the most substantial SWE improvements with the SWE-BCF. The structural adaptability of the SWE-BCF enables its transferability to various geographic locations and SWE datasets, allowing for an extension of coverage and frequency of more accurate SWE estimates. This potential advancement may improve water management decisions which rely on accurate water supply forecasts.</t>
  </si>
  <si>
    <t>Molotch, Noah/C-8576-2009; Painter, Thomas/AAC-9493-2019; Deems, Jeffrey/E-6484-2016; Yang, Kehan/AAQ-9081-2020</t>
  </si>
  <si>
    <t>10.1016/j.rse.2025.114693</t>
  </si>
  <si>
    <t>WOS:001461615000001</t>
  </si>
  <si>
    <t>Li, LL; Yang, M; Chen, HH; Fan, YF</t>
  </si>
  <si>
    <t>Li Lele; Yang Meng; Chen Haihua; Fan Yanfei</t>
  </si>
  <si>
    <t>Inversion of Snow Depth on Multi-Year Sea Ice Based on the SMRT Model</t>
  </si>
  <si>
    <t>L-band microwaves can penetrate snow and ice deeply due to their low frequency. Their propagation in snow is affected by snow's physical properties, which modulate the microwave signal and enable it to carry information about the snow layer. The L-band microwave radiative transfer model is the foundation for the retrieval of snow depth on Arctic multiyear sea ice. In this study, the snow depth on Arctic multiyear ice is retrieved based on Snow Microwave Radiative Transfer model (SMRT). First, the key process of forward simulation is improved to enhance the accuracy. Then the snow depth retrieval algorithm combining L-band model with radar altimeter data is selected, and the feasibility of applying the improved SMRT model to the multi-year ice snow depth retrieval is verified. Finally, the average monthly snow depth from January to March of each year between November 2012 and April 2021 has been analyzed. The comparison between the retrieval results and the snow depth product indicates that the algorithm used in this study is more effective in determining the distribution of snow depth in the Arctic. The verified result using Operation Ice Bridge (OIB) data from 2013 to 2015 shows that the retrieval snow depths are in good agreement with OIB data, with a RMSE of 0.07m. This indicates the validity of the snow depth retrieval algorithm on Arctic multi-year ice based on the SMRT model.</t>
  </si>
  <si>
    <t>10.1109/IGARSS55030.2025.11243450</t>
  </si>
  <si>
    <t>WOS:001697407700020</t>
  </si>
  <si>
    <t>Sun, HJ; Xiong, C; Li, XD</t>
  </si>
  <si>
    <t>Sun, Haijiao; Xiong, Chuan; Li, Xudong</t>
  </si>
  <si>
    <t>An Automatic Data-Driven Framework for AVHRR Long-Term Fractional Snow Cover Retrieval Using Dynamic High-Accuracy Training Samples From Landsat</t>
  </si>
  <si>
    <t>Snow cover dynamics in the high mountain Asia (HMA) region serve as key indicators of global climate change. Although fractional snow cover (FSC) products derived from MODIS data have advanced significantly, their relatively short temporal span limits long-term snow trend analyses. In contrast, the Advanced Very High Resolution Radiometer (AVHRR) offers the longest continuous record of optical remote sensing data, presenting a unique opportunity to capture interannual variability in snow cover across decades. However, given the relatively limited observational capability of AVHRR, conventional physically based methods face considerable challenges in achieving accurate retrievals. To address this, we propose a two-stage, data-driven FSC retrieval approach for the HMA region, employing random forest (RF) and extreme gradient boosting (XGBoost) models separately in the regression stage and an RF in the classification stage to correct the results. Based on this approach, two FSC products (AVHRR FSC L1) spanning 19842018 were developed, incorporating cloud indicators. FSC L1 datasets were validated with Landsat 8 FSC and in situ snow depth and benchmarked against the SnowCCI AVHRR products from the European Space Agency (ESA) (ESA FSC). The results demonstrate clear improvements. The FSC L1 datasets achieve root mean square error (RMSE) values of 0.079 (XGBoost) and 0.082 (RF), with corresponding $R&lt;^&gt;{2}$ values of 0.955 and 0.953, respectively, outperforming the ESA FSC (RMSE: 0.097 and $R&lt;^&gt;{2}$ : 0.934). These models demonstrate superior accuracy in forested and topographically complex areas, as well as improved consistency in spatial snow distribution. To further enhance data usability, we introduce a multistep spatiotemporal gap-filling algorithm and produce a cloud-free FSC product (AVHRR FSC L2). Its performance shows RMSE 0.084 (high cloud cover) and 0.154 (medium-low cloud cover), with $R&lt;^&gt;{2}$ of 0.862 and 0.919. A key innovation of this study lies in the automatic construction of an extensive, high-quality training dataset on the Google Earth Engine (GEE) cloud platform, enabling the first AVHRR-based, long-term, high-accuracy FSC dataset specifically tailored for the HMA region. The resulting FSC products are expected to support a broad range of applications in cryospheric research, climate change monitoring, hydrological modeling, and regional water resource management.</t>
  </si>
  <si>
    <t>Li, Xudong/0009-0000-7528-6240</t>
  </si>
  <si>
    <t>10.1109/TGRS.2025.3623793</t>
  </si>
  <si>
    <t>WOS:001611731400016</t>
  </si>
  <si>
    <t>Wang, GY; Niu, ST; Hao, XH; Chu, XD; Sun, XL; Feng, TW; Zhao, Q; Liang, SH; Li, HY</t>
  </si>
  <si>
    <t>Wang, Guoyu; Niu, Shuting; Hao, Xiaohua; Chu, Xinde; Sun, Xingliang; Feng, Tianwen; Zhao, Qin; Liang, Sihai; Li, Hongyi</t>
  </si>
  <si>
    <t>Snow Depth Downscaling Retrieval Based on Spatial-Environment XGBoost Model: A Case Study of the Arid Region of Northwest China</t>
  </si>
  <si>
    <t>As a crucial component of the cryosphere, snow exhibits high sensitivity to climate change and exerts a significant influence on the hydrological cycle and ecological framework. Snow depth (SD) is one of the important information about snow, so studying high-resolution SD data is of great significance for regional climate, hydrology, and disasters. Utilizing passive microwave data from Advanced Microwave Scanning Radiometer 2 (AMSR-2) and optical remote sensing data from SSE mod fractional snow cover (FSC), along with digital elevation model (DEM) and land cover type datasets, the extreme gradient boosting (XGBoost) model is employed to leverage the advantages of multisource remote sensing information. Subsequently, the spatial-environmental-XGBoost (SE-XGB) model is constructed for the downscaling retrieval of SD. In the arid region of Northwest China, the inversion results of SE-XGB model were validated against measured SD at the weather station. The validation yields an R of 0.912, root mean square error (RMSE) of 2.65 cm, and mean absolute error (MAE) of 0.81 cm. The SD estimated by the SE-XGB algorithm exhibits excellent agreement with the measured data. This study validated the snow inversion accuracy of four major land cover types, showing that bare land had the highest accuracy. In contrast, the inversion accuracies for cultivated land, urban land, and grass land exhibit roughly comparable performance, yet all three demonstrate significantly lower accuracy than bare land. The validation regions selected for this study include northern Xinjiang and Northeast China. At the same time, the SE-XGB algorithm is verified in the northern Xinjiang Line 1 and line 2 of China snow survey. The SE-XGB algorithm exhibits enhanced accuracy in terms of RMSE and MAE, as well as significantly reduced production time, when compared to the down-scale SD inversion algorithm spatial dynamic downscaling (SDD) algorithm employed by similar products. The SE-XGB algorithm employed in this study exhibits remarkable performance in discriminating snow and achieves high precision in retrieving SD. This leads to a more detailed spatial distribution of snow information, effectively eliminating the large area block structure, and providing valuable References for the development of global downscaled SD datasets.</t>
  </si>
  <si>
    <t>; Li, Hongyi/G-2018-2011; Wang, Guoyu/OEO-5371-2025</t>
  </si>
  <si>
    <t>Sun, Xingliang/0000-0002-3756-2758; Li, Hongyi/0000-0001-7583-6003; Feng, Tianwen/0000-0003-3587-734X; Wang, Guoyu/0009-0003-1273-1185</t>
  </si>
  <si>
    <t>10.1109/TGRS.2025.3597950</t>
  </si>
  <si>
    <t>WOS:001606670800003</t>
  </si>
  <si>
    <t>Ying, JJ; Yang, JW; Jiang, LM; Xiong, C; Pan, JM</t>
  </si>
  <si>
    <t>Ying, Jiajie; Yang, Jianwei; Jiang, Lingmei; Xiong, Chuan; Pan, Jinmei</t>
  </si>
  <si>
    <t>VALIDATION OF SNOW BACKSCATTERING MODELS USING GROUND-BASED MEASUREMENTS</t>
  </si>
  <si>
    <t>Microwave remote sensing signals are commonly used to retrieve key snowpack parameters, such as snow water equivalent and snow depth, and their accuracy is influenced by various factors. Snow radiative transfer models are crucial for understanding the interactions between microwave signals and snowpacks. In this context, this study aims to perform the validation and intercomparison of two commonly used active microwave snow forward models at four-frequency, C- (5.4 GHz), X- (10 GHz), Ku-band (13.3 and 17.7 GHz) and tri-polarization (VV, HH and VH) channels using field campaign measurements collected from Finland, Canada, and China. Here the Snow Microwave Radiative Transfer (SMRT) and the Bicontinuous Dense Media Radiative Transfer (Bic-DMRT) models are selected. Our preliminary results indicate that both SMRT and Bic-DMRT models perform similar performances at 10 and 14 GHz, with the correlation values of 0.84-0.95, ubRMSE values of 0.64-1.57 dB. Meanwhile, the simulated values at HH polarization exhibit high bias (up to -1.38 dB) and larger ubRMSE (1.52 dB) than VV polarization. We also find both models present poor performances at 17.75 GHz, especially for HH polarization. For example, the ubRMSE (bias) values are 2.85 (-2.55) dB and 1.93 (-1.21) dB respectively for SMRT and Bic-DMRT models. Our subsequent validation and intercomparison results of SMRT and Bic-DMRT in Finland and Canada are in progress.</t>
  </si>
  <si>
    <t>10.1109/IGARSS55030.2025.11243706</t>
  </si>
  <si>
    <t>WOS:001697407700502</t>
  </si>
  <si>
    <t>Mahanthege, S; Kleiber, W; Rittger, K; Rajagopalan, B; Brodzik, MJ; Bair, E</t>
  </si>
  <si>
    <t>Mahanthege, Shalini; Kleiber, William; Rittger, Karl; Rajagopalan, Balaji; Brodzik, Mary J.; Bair, Edward</t>
  </si>
  <si>
    <t>A Spatially-Distributed Machine Learning Approach for Fractional Snow Covered Area Estimation</t>
  </si>
  <si>
    <t>WATER RESOURCES RESEARCH</t>
  </si>
  <si>
    <t>Snowpack in mountainous areas often provides water storage for summer and fall, especially in the Western United States. In situ observations of snow properties in mountainous terrain are limited by cost and effort, impacting both temporal and spatial sampling, while remote sensing estimates provide more complete spacetime coverage. Spatial estimates of fractional snow covered area (fSCA) at 30m are available every 16 days from the series of multispectral scanning instruments on Landsat platforms. Daily estimates at 463m spatial resolution are also available from the Moderate Resolution Imaging Spectroradiometer (MODIS) instrument on the Terra satellite. Fusing Landsat and MODIS fSCA images creates high resolution daily spatial estimates of fSCA that are needed for various uses: to support scientists and managers interested in energy and water budgets for water resources and to understand the movement of animals in a changing climate. Here, we propose a new machine learning approach conditioned on MODIS fSCA, as well as a set of physiographic features, and fit to Landsat fSCA over a portion of the Sierra Nevada USA. The predictions are daily 30m fSCA. The approach relies on two stages of spatially-varying models. The first classifies fSCA into three categories and the second yields estimates within (0, 100) percent fSCA. Separate models are applied and fitted within sub-regions of the study domain. Compared with a recently-published machine learning model (Rittger, Krock, et al., 2021), this approach uses spatially local (rather than global) random forests, and improves the classification error of fSCA by 16%, and fractionally-covered pixel estimates by 18%.</t>
  </si>
  <si>
    <t>/E-3191-2016; Rajagopalan, Balaji/A-5383-2013</t>
  </si>
  <si>
    <t>KLEIBER, WILLIAM/0000-0003-0411-9108; Rajagopalan, Balaji/0000-0002-6883-7240</t>
  </si>
  <si>
    <t>0043-1397</t>
  </si>
  <si>
    <t>1944-7973</t>
  </si>
  <si>
    <t>NOV 9</t>
  </si>
  <si>
    <t>e2023WR036162</t>
  </si>
  <si>
    <t>10.1029/2023WR036162</t>
  </si>
  <si>
    <t>WOS:001368793200001</t>
  </si>
  <si>
    <t>Gong, HY; Yu, ZH; Zhang, SQ; Zhou, G</t>
  </si>
  <si>
    <t>Gong, Hanying; Yu, Zehao; Zhang, Shiqiang; Zhou, Gang</t>
  </si>
  <si>
    <t>Detection of Wet Snow by Weakly Supervised Deep Learning Change Detection Algorithm with Sentinel-1 Data</t>
  </si>
  <si>
    <t>The snowmelt process plays a crucial role in hydrological forecasting, climate change, disaster management, and other related fields. Accurate detection of wet snow distribution and its changes is essential for understanding and modeling the snow melting process. To address the limitations of conventional fixed-threshold methods, which suffer from poor adaptability and significant interference from scattering noise, we propose a weakly supervised deep learning change detection algorithm with Sentinel-1 multi-temporal data. This algorithm incorporates the Multi-Region Convolution Module (MRC) to enhance the central region while effectively suppressing edge noise. Furthermore, it integrates the ResNet residual network to capture deeper image features, facilitating wet snow identification through feature fusion. Various combinations of differential images, polarization data, elevation, and slope information during and after snowmelt were input into the model and tested. The results suggest that the combination of differential images, VV polarization data, and slope information has greater advantages in wet snow extraction. Comparisons between our method, the fixed-threshold method, OTSU algorithm, and FCM algorithm against the results of Landsat images indicates that the overall accuracy of our method improves significantly when the proportion of wet snow cover is large, and the average overall accuracy of wet snow extraction is 85.2%. This study provides clues for the accurate identification of wet snow during the mid-snowmelt phase.</t>
  </si>
  <si>
    <t>Zhang, Shiqiang/JMP-5376-2023</t>
  </si>
  <si>
    <t>Zhang, Shiqiang/0000-0003-3407-6356</t>
  </si>
  <si>
    <t>10.3390/rs16193575</t>
  </si>
  <si>
    <t>WOS:001332842400001</t>
  </si>
  <si>
    <t>Montpetit, B; King, J; Meloche, J; Derksen, C; Siqueira, P; Adam, JM; Toose, P; Brady, M; Wendleder, A; Vionnet, V; Leroux, NR</t>
  </si>
  <si>
    <t>Montpetit, Benoit; King, Joshua; Meloche, Julien; Derksen, Chris; Siqueira, Paul; Adam, J. Max; Toose, Peter; Brady, Mike; Wendleder, Anna; Vionnet, Vincent; Leroux, Nicolas R.</t>
  </si>
  <si>
    <t>Retrieval of snow and soil properties for forward radiative transfer modeling of airborne Ku-band SAR to estimate snow water equivalent: the Trail Valley Creek 2018/19 snow experiment</t>
  </si>
  <si>
    <t>Accurate snow information at high spatial and temporal resolution is needed to support climate services, water resource management, and environmental prediction services. However, snow remains the only element of the water cycle without a dedicated Earth observation mission. The snow scientific community has shown that Ku-band radar measurements provide quality snow information with its sensitivity to snow water equivalent and the wet/dry state of snow. With recent developments of tools like the snow micropenetrometer (SMP) to retrieve snow microstructure data in the field and radiative transfer models like the Snow Microwave Radiative Transfer (SMRT) model, it becomes possible to properly characterize the snow and how it translates into radar backscatter measurements. An experiment at Trail Valley Creek (TVC), Northwest Territories, Canada, was conducted during the winter of 2018/19 in order to characterize the impacts of varying snow geophysical properties on Ku-band radar backscatter at a 100 m scale. Airborne Ku-band data were acquired using the University of Massachusetts radar instrument. This study shows that it is possible to calibrate SMP data to retrieve statistical information on snow geophysical properties and properly characterize a representative snowpack at the experiment scale. The tundra snowpack measured during the campaign can be characterize by two layers corresponding to a rounded snow grain layer and a depth hoar layer. Using RADARSAT-2 and TerraSAR-X data, soil background roughness properties were retrieved (msssoil=0.010 +/- 0.002), and it was shown that a single value could be used for the entire domain. Microwave snow grain size polydispersity values of 0.74 and 1.11 for rounded and depth hoar snow grains, respectively, were retrieved. Using the geometrical optics surface backscatter model, the retrieved effective soil permittivity increased from C-band (epsilon soil=2.47) to X-band (epsilon soil=2.61) and to Ku-band (epsilon soil=2.77) for the TVC domain. Using the SMRT and the retrieved soil and snow parameterizations, an RMSE of 2.6 dB was obtained between the measured and simulated Ku-band backscatter values when using a global set of parameters for all measured sites. When using a distributed set of soil and snow parameters, the RMSE drops to 0.9 dB. This study thus shows that it is possible to link Ku-band radar backscatter measurements to snow conditions on the ground using a priori knowledge of the snow conditions to retrieve snow water equivalent (SWE) at the 100 m scale.</t>
  </si>
  <si>
    <t>Siqueira, Paul/D-9760-2016; Derksen, Chris/S-9828-2017; Vionnet, Vincent/F-5446-2018</t>
  </si>
  <si>
    <t>Wendleder, Anna/0009-0005-1534-4732; Vionnet, Vincent/0000-0002-9142-9739; Brady, Mike/0000-0001-8263-0951; Leroux, Nicolas/0000-0003-4914-0381</t>
  </si>
  <si>
    <t>AUG 28</t>
  </si>
  <si>
    <t>10.5194/tc-18-3857-2024</t>
  </si>
  <si>
    <t>WOS:001298884500001</t>
  </si>
  <si>
    <t>Sun, LY; Zhang, XL; Wang, HD; Xiao, PF; Wang, YH</t>
  </si>
  <si>
    <t>Sun, Liyang; Zhang, Xueliang; Wang, Huadong; Xiao, Pengfeng; Wang, Yunhan</t>
  </si>
  <si>
    <t>Estimating Daily Snow Density Through a Spatiotemporal Random Forest Model</t>
  </si>
  <si>
    <t>Snow density is of paramount importance in water resource management, snow avalanche warning, and climate change research. However, the lack of competent methods for long-term and vast-scale snow density mapping persists due to the intricate spatiotemporal dependencies inherent in snow density, resulting in scarce and inaccurate snow density products. To address this challenge, a spatiotemporal random forest (STRF) model is constructed by leveraging in-situ measurements, multisource remote sensing, and reanalysis data. It tackles the spatiotemporal dependencies in snow density arising from its inherent heterogeneity and the relations involving snow density and nonlinearly connected meteorological, terrain, vegetation, and snow-related factors. The effectiveness of the model is substantiated through rigorous validation methods, including random, temporal, and spatial block cross-validations as well as independent validation, apparently surpassing ERA5-Land snow density. The estimated snow density is also demonstrated to be able to improve existing snow water equivalent data set using fixed snow density. Utilizing the proposed model, a data set of daily 25-km snow density from 1980 to 2018 is constructed for stable snow cover areas in China, which holds significant potential for research and applications in the realm of snow hydrology. Snow density plays a crucial role in managing water resources and issuing snow avalanche warnings. Snow density exhibits great spatiotemporal dependent structure due to its spatiotemporal heterogeneity and its relations with various influencing factors, which pose challenges to mapping long-term and large-scale snow density. This leads to a scarcity of accurate snow density products. To tackle this issue, we develope a spatiotemporal random forest (STRF) model by combining ground measurements, remote sensing sources, and reanalysis data. Notably, our model shows impressive results apparently outperforming the ERA5-Land snow density data set. Our estimated snow density can also enhance existing snow water equivalent data set that rely on fixed snow density. Using our model, we produce a data set of daily 25-km snow density from 1980 to 2018 for stable snow cover areas in China. This data set holds significant potential for research and practical applications in the field of snow hydrology. A spatiotemporal random forest (STRF) model is proposed for estimating large-scale and long-term snow density STRF depicts the spatiotemporal dependent structure of snow density and handles its nonlinear relations with various influencing factors The estimated snow density outperforms ERA5-Land snow density and could improve snow water equivalent data set using fixed snow density</t>
  </si>
  <si>
    <t>Sun, Liyang/AAS-1573-2021; Xiao, Pengfeng/A-8143-2016</t>
  </si>
  <si>
    <t>Xiao, Pengfeng/0000-0003-2739-3302; Wang, Yunhan/0009-0008-1096-5988</t>
  </si>
  <si>
    <t>e2023WR036942</t>
  </si>
  <si>
    <t>10.1029/2023WR036942</t>
  </si>
  <si>
    <t>WOS:001277996800001</t>
  </si>
  <si>
    <t>Azizi, AH; Akhtar, F; Kusche, J; Tischbein, B; Borgemeister, C; Oluoch, WA</t>
  </si>
  <si>
    <t>Azizi, Abdul Haseeb; Akhtar, Fazlullah; Kusche, Juergen; Tischbein, Bernhard; Borgemeister, Christian; Oluoch, Wyclife Agumba</t>
  </si>
  <si>
    <t>Machine learning-based estimation of fractional snow cover in the Hindukush Mountains using MODIS and Landsat data</t>
  </si>
  <si>
    <t>Accurate estimation of snow-covered area (SCA) is vital for effective water resource management, especially in snowmelt-dependent regions like the Kabul River Basin (KRB). It serves as a reference point for comparing expected variations in water availability driven by climate change, particularly in arid and semi-arid regions like the KRB. In this study, fractional snow cover (FSC) was estimated across the KRB using Landsat and moderate resolution imaging spectroradiometer (MODIS) datasets. For this purpose, 34 Landsat-8 and MODIS image-pairs were acquired covering the snowfall period from 01 October 2018 and 31 March 2021. The training dataset consisted of 31 image-pairs, while the remaining three were used as an independent test dataset. Sample sizes and training strategies (i.e., full, semi, and trimmed-models), three each, were evaluated to understand the relevance of the predictor variables. The full-model incorporated MODIS surface reflectance bands (SRB) 1-7 spectral indices, topography and landcover while the semi-model included MODIS SRB 1-7 and indices. The trimmed-model only utilized SRB 1-7. Random Forests (RF) facilitated FSC mapping with Landsat-8 data as a reference. The findings indicated comparable performance between full and semi models, whereas the trimmedmodel exhibited weaker performance. The correlation coefficient (R) of the full, semi and trimmed models ranged from 0.83 to 0.92, 0.83-0.92 and 0.82-0.87 respectively. The models performed strongly in grassland regions (R = 0.89-0.90), but moderately in forested areas (R = 0.43-0.53). This approach results in improved MODIS-based SCA-mapping in the Hindukush Mountains, facilitating better water resource management in the region.</t>
  </si>
  <si>
    <t>; Akhtar, Fazlullah/N-2505-2019; Oluoch, Wyclife/ODL-0824-2025; Kusche, Jürgen/E-9805-2014</t>
  </si>
  <si>
    <t>Borgemeister, Christian/0000-0001-8067-0335; Akhtar, Fazlullah/0000-0003-3503-6874; Azizi, Abdul Haseeb/0000-0003-2879-954X</t>
  </si>
  <si>
    <t>10.1016/j.jhydrol.2024.131579</t>
  </si>
  <si>
    <t>JUN 2024</t>
  </si>
  <si>
    <t>WOS:001260295100001</t>
  </si>
  <si>
    <t>Goodarzi, MR; Sabaghzadeh, M; Barzkar, A; Niazkar, M; Saghafi, M</t>
  </si>
  <si>
    <t>Goodarzi, Mohammad Reza; Sabaghzadeh, Maryam; Barzkar, Ali; Niazkar, Majid; Saghafi, Mostafa</t>
  </si>
  <si>
    <t>A comparison of machine learning methods for estimation of snow density using satellite images</t>
  </si>
  <si>
    <t>WATER AND ENVIRONMENT JOURNAL</t>
  </si>
  <si>
    <t>Low snow density causes snow to melt quickly, so there is no runoff during the warmer months of the year. Therefore, knowing the snow density can be useful in determining the amount of water. To predict snow density, this study used seven machine learning methods, including adaptive neural-fuzzy inference system (ANFIS), M5P, multivariate adaptive regression spline (MARS), random forest (RF), support vector regression (SVR), gene expression programming (GEP) and eXtreme gradient boosting (XGBoost). Nine factors expected to affect snow density were considered. These factors were extracted using Google Earth Engine (GEE) from 1983 to 2022. The results showed that the surface temperature had the highest correlation (coefficient = -0.7), and the wind speed had the lowest correlation (coefficient = 0.3) among the considered factors on the snow density. Also, the best method was XGBoost (Nash-Sutcliffe efficiency [NSE] = 0.978, R = 0.957), and the worst method is SVR (NSE = 0.7, R = 0.9). Therefore, snow density can be estimated with good accuracy using a combination of machine learning methods and remote sensing.</t>
  </si>
  <si>
    <t>Saghafi, Mostafa/AAS-3191-2021; Niazkar, Majid/I-1844-2019; Goodarzi, Mohammad/AAQ-3253-2020</t>
  </si>
  <si>
    <t>Saghafi, Mostafa/0009-0002-0596-504X;</t>
  </si>
  <si>
    <t>1747-6585</t>
  </si>
  <si>
    <t>1747-6593</t>
  </si>
  <si>
    <t>10.1111/wej.12939</t>
  </si>
  <si>
    <t>WOS:001246009200001</t>
  </si>
  <si>
    <t>Cao, YH; Luo, CZ; Tan, SR; Kang, DH; Fang, YW; Pan, JM</t>
  </si>
  <si>
    <t>Cao, Yuanhao; Luo, Chunzeng; Tan, Shurun; Kang, Do-Hyuk; Fang, Yiwen; Pan, Jinmei</t>
  </si>
  <si>
    <t>A Snow Water Equivalent Retrieval Framework Coupling 1D Hydrology and Passive Microwave Radiative Transfer Models</t>
  </si>
  <si>
    <t>The retrieval of continuous snow water equivalent (SWE) directly from passive microwave observations is hampered by ambiguity, which can potentially be mitigated by incorporating knowledge on snow hydrological processes. In this paper, we present a data assimilation (DA)-based SWE retrieval framework coupling the QCA-Mie scattering (DMRT-QMS) model (a dense medium radiative transfer (RT) microwave scattering model) and a one-dimensional column-based multiple-layer snow hydrology model. The snow hydrology model provides realistic estimates of the snowpack physical parameters required to drive the DMRT-QMS model. This paper devises a strategy to specify those internal parameters in the snow hydrology and RT models that lack observational records. The modeled snow depth is updated by assimilating brightness temperatures (Tbs) from the X, Ku, and Ka bands using an ensemble Kalman filter (EnKF). The updated snow depth is then used to predict the SWE. The proposed framework was tested using the European Space Agency's Nordic Snow Radar Experiment (ESA NoSREx) dataset for a snow field experiment from 2009 to 2012 in Sodankyl &amp; auml;, Finland. The achieved SWE retrieval root mean square error of 34.31 mm meets the requirements of NASA and ESA snow missions and is about 70% less than the open-loop SWE. In summary, this paper introduces a novel SWE retrieval framework that leverages the combined strengths of a snow hydrology model and a radiative transfer model. This approach ensures physically realistic retrievals of snow depth and SWE. We investigated the impact of various factors on the framework's performance, including observation time intervals and combinations of microwave observation channels. Our results demonstrate that a one-week observation interval achieves acceptable retrieval accuracy. Furthermore, the use of multi-channel and multi-polarization Tbs is preferred for optimal SWE retrieval performance.</t>
  </si>
  <si>
    <t>; cao, yuanhao/NTR-0373-2025</t>
  </si>
  <si>
    <t>Fang, Yiwen/0000-0002-0173-9515;</t>
  </si>
  <si>
    <t>10.3390/rs16101732</t>
  </si>
  <si>
    <t>WOS:001231402600001</t>
  </si>
  <si>
    <t>Kollert, A; Mayr, A; Dullinger, S; Hülber, K; Moser, D; Lhermitte, S; Gascoin, S; Rutzinger, M</t>
  </si>
  <si>
    <t>Kollert, Andreas; Mayr, Andreas; Dullinger, Stefan; Huelber, Karl; Moser, Dietmar; Lhermitte, Stef; Gascoin, Simon; Rutzinger, Martin</t>
  </si>
  <si>
    <t>Downscaling MODIS NDSI to Sentinel-2 fractional snow cover by random forest regression</t>
  </si>
  <si>
    <t>Imagery acquired by the Moderate-resolution Imaging Spectroradiometer (MODIS) provides a global archive of dailyNormalized Difference Snow Index (NDSI) at 500 m nominal resolution since the year 2000. While Sentinel-2 (S2) NDSI provides an increased spatial resolution of 20 m since the year 2015, the temporal resolution amounts to only 5 days and thus lacks the high temporal resolution of MODIS. Efforts to combine NDSI datasets for an increased temporal and spatial resolution have so far focused on the deriving binary snow cover maps or combining data from other sensors. In contrast, we produce fine scale (20 m) fractional snow cover (FSC) by downscaling MODIS NDSI to S2 resolution. Random forest regression predicts S2 NDSI based on dynamic features (MODIS NDSI, day-of-year) and static, topographic features for an alpine study site. Subsequently, FSC is derived from S2 NDSI. Cross-validation results in R(2 )of 0.795 and RMSE of 0.155 for FSC and outperforms common resampling methods. Multi-annual S2 NDSI metrics are able to slightly improve model accuracy. Our results suggest that combining topographical data and low-resolution NDSI allows to produce daily, high-resolution S2 NDSI and FSC and improve fine scale characterization of snow cover dynamics in mountain landscapes.</t>
  </si>
  <si>
    <t>Hülber, Karl/H-7822-2019; Gascoin, Simon/J-7848-2012; Lhermitte, Stef/A-3385-2013; Rutzinger, Martin/A-7011-2010; Mayr, Aneas/AEF-3157-2022</t>
  </si>
  <si>
    <t>Hülber, Karl/0000-0001-9274-1647; Moser, Dietmar/0000-0002-2745-7508; Gascoin, Simon/0000-0002-4996-6768; Lhermitte, Stef/0000-0002-1622-0177; Rutzinger, Martin/0000-0001-6628-4681; Mayr, Aneas/0000-0001-8305-4765; Kollert, Aneas/0000-0002-1225-6789</t>
  </si>
  <si>
    <t>APR 2</t>
  </si>
  <si>
    <t>10.1080/2150704X.2024.2327084</t>
  </si>
  <si>
    <t>WOS:001184213800001</t>
  </si>
  <si>
    <t>Esmaeelzadeh, R; Emamgholizadeh, S; Bigdeli, B</t>
  </si>
  <si>
    <t>Esmaeelzadeh, Reza; Emamgholizadeh, Samad; Bigdeli, Behnaz</t>
  </si>
  <si>
    <t>Improvement on the Effective Snow Cover Extraction Using Fusion Satellite Images Approach</t>
  </si>
  <si>
    <t>JOURNAL OF THE INDIAN SOCIETY OF REMOTE SENSING</t>
  </si>
  <si>
    <t>Satellite remote sensing and optical and synthetic aperture radar (SAR) instruments can provide accurate observations of snow cover area (SCA) over inaccessible areas. Both instruments have the ability to complement each other. Notably, there have been limited attempts at incorporating their measurements. We have developed a new approach to create short-term maps of snowmelt areas through the application of data fusion techniques to Sentinel-2 fractional SCA and Sentinel-1 wet snow mask, facilitated by temperature threshold mask. The method is demonstrated in the 800 km2 Latiyan basin in the mountainous region of Central Alborz (Tehran, Iran) over a period of 8 months (2018-2019). Snow indices threshold is applied to extract SCA in Sentinel-2, SCA (II). The typical overestimation of SCA by Sentinel-2 is corrected using a fusion of classification algorithms. Next, Sentinel-1, SCA (I) is presented as a mask to derive the fractional cover of wet snow. Results demonstrate that the Sentinel-1 and Sentinel-2 fusion approach, SCA (I, II), effectively improves the snow mapping model, but there is a shortcoming in the presented snow mapping method, especially in the cold months. Hydrologically, the snowmelt phase occurs based on temperature changes. So, daily temperature is introduced as an effective parameter to improve the model's accuracy. Results show that incorporating in situ and satellite data leads to developments in the model's accuracy. It is notable that the proposed method can be used in any mountainous areas where Sentinel-1 and Sentinel-2 data are routinely available. In sum, better runoff analysis, management of water resources, and flood risk depend on short-term snow mapping studies, as an important input in hydrological models.</t>
  </si>
  <si>
    <t>Emamgholizadeh, Samad/JMH-3149-2023</t>
  </si>
  <si>
    <t>0255-660X</t>
  </si>
  <si>
    <t>0974-3006</t>
  </si>
  <si>
    <t>10.1007/s12524-024-01828-y</t>
  </si>
  <si>
    <t>FEB 2024</t>
  </si>
  <si>
    <t>WOS:001171287900001</t>
  </si>
  <si>
    <t>Dumont, ZB; Gascoin, S; Inglada, J</t>
  </si>
  <si>
    <t>Dumont, Zacharie Barrou; Gascoin, Simon; Inglada, Jordi</t>
  </si>
  <si>
    <t>Snow and Cloud Classification in Historical SPOT Images: An Image Emulation Approach for Training a Deep Learning Model Without Reference Data</t>
  </si>
  <si>
    <t>The lack of revisit in long-term satellite time series, such as Landsat is an issue to assess ecosystems response to snow cover variations in mountains. A recent release of the Satellites Pour l'Observation de la Terre (SPOT) 1-5 satellite images collection by the SPOT World Heritage (SWH) program offers the opportunity to increase the temporal revisit of Landsat from 1986 to 2015 at 20 m resolution. However, spectral and radiometric limitations of these images hinder the application of well-established pixel-wise methods to extract the snow cover area. As a work-around, deep learning techniques, such as convolutional neural networks can incorporate both spectral and spatial information to classify every pixel as snow, cloud, or snow-free. However, the lack of reference data poses a challenge to the implementation of such data-driven approaches. Here, we develop an emulator of SPOT images, which takes as input Sentinel-2 images. As a result, an emulated SPOT image can be paired with a reference snow map generated from its source Sentinel-2 image to train a deep learning model able to process actual SPOT images. We follow this approach to train a U-Net and evaluate different training strategies. We apply the different models to classify actual SPOT images for which we have reference data for validation. The method yields high precision in detecting snow, with minimal false snow pixel identification. This is at the cost of overestimating cloud pixels around clouds and highly saturated areas. The results confirm the potential of this method to generate time series of snow cover maps using the SWH collection.</t>
  </si>
  <si>
    <t>Gascoin, Simon/J-7848-2012; /B-4502-2018</t>
  </si>
  <si>
    <t>Gascoin, Simon/0000-0002-4996-6768;</t>
  </si>
  <si>
    <t>10.1109/JSTARS.2024.3361838</t>
  </si>
  <si>
    <t>WOS:001180713400007</t>
  </si>
  <si>
    <t>Wang, YH; Gu, LJ; Li, XF; Fan, XT</t>
  </si>
  <si>
    <t>Wang, Yuhan; Gu, Lingjia; Li, Xiaofeng; Fan, Xintong</t>
  </si>
  <si>
    <t>An Effective Fractional Snow Cover Estimation Method Using Deep Feature Snow Index</t>
  </si>
  <si>
    <t>Fractional snow cover (FSC) is an important parameter of snow monitoring. The snow index is generally linearly correlated with FSC; thus, the FSC estimation can be obtained by constructing a linear regression model between snow index and FSC. The conventional snow index, such as Normalized Difference Snow Index (NDSI), Normalized Difference Forest Snow Index (NDFSI), and Universal Ratio Snow Index (URSI), are usually calculated by performing ratio or difference calculations based on certain bands of the given multispectral image. In order to further improve the accuracy of FSC estimation, more useful snow features should be extracted through fully utilizing all the band information from multispectral image. Moreover, the complexity of ground object coverage brings challenges to the accurate estimation of FSC. In this letter, we proposed an effective FSC estimation method based on the deep feature snow index (DFSI). First, a Light-wideResNet model was proposed to extract DFSI by comprehensively utilizing all information from multispectral images. Then, an FSC regression model (FSCDFSI) was constructed based on the linear relationship between DFSI and FSC to estimate FSC. The proposed FSCDFSI was validated in 15 experimental areas of forest and farmland in Northeast China with a spatial resolution of 30 m. Compared with other snow index-based regression methods, the R-square (R2) of FSCDFSI could reach 0.87 and achieved the optimal accuracy with the root mean squared error (RMSE) error of FSC within 0.09.</t>
  </si>
  <si>
    <t>Gu, Lingjia/0000-0002-4909-2263</t>
  </si>
  <si>
    <t>10.1109/LGRS.2024.3365792</t>
  </si>
  <si>
    <t>WOS:001173135800020</t>
  </si>
  <si>
    <t>Wei, YL; Li, XF; Gu, LJ; Zheng, XM; Jiang, T</t>
  </si>
  <si>
    <t>Wei, Yanlin; Li, Xiaofeng; Gu, Lingjia; Zheng, Xingming; Jiang, Tao</t>
  </si>
  <si>
    <t>A novel fine-resolution snow depth retrieval model to reveal detailed spatiotemporal patterns of snow cover in Northeast China</t>
  </si>
  <si>
    <t>Seasonal snow cover is a key component of the global climate and hydrological system, it has drawn considerable attention under global warming conditions. Although several passive microwave (PMW) snow depth (SD) products have been developed since the 1970s, they inherit noticeable errors and uncertainties when representing spatial distributions and temporal changes of SD, especially in complex mountainous regions. In this paper, we developed a fine-resolution SD retrieval model (FSDM) using machine learning to improve SD estimation quality for Northeast China and produced a long-term, fine-resolution, daily SD dataset. The accuracies of the FSDM dataset were evaluated against in-situ SD data along with existing SD products. The results showed the FSDM dataset provided satisfactory inversion accuracy in spatiotemporal evaluation, with the root-mean-square error (RMSE), bias, and correlation coefficient (R) of 7.10 cm, -0.13 cm, and 0.60. Additionally, we analyzed the spatiotemporal variations of SD in Northeast China and found that snow cover was mainly distributed in the Greater Khingan Range, Lesser Khingan Mountains, and Changbai Mountain regions. The SD exhibited high-low distribution patterns with the increased latitude. The annual mean SD slightly increased at the rate of 0.029 cm/year during 1987-2018.</t>
  </si>
  <si>
    <t>10.1080/17538947.2023.2196446</t>
  </si>
  <si>
    <t>WOS:000965509400001</t>
  </si>
  <si>
    <t>Lalande, M; Ménégoz, M; Krinner, G; Ottlé, C; Cheruy, F</t>
  </si>
  <si>
    <t>Lalande, Mickael; Menegoz, Martin; Krinner, Gerhard; Ottle, Catherine; Cheruy, Frederique</t>
  </si>
  <si>
    <t>Improving climate model skill over High Mountain Asia by adapting snow cover parameterization to complex-topography areas</t>
  </si>
  <si>
    <t>This study investigates the impact of topography on five snow cover fraction (SCF) parameterizations developed for global climate models (GCMs), including two novel ones. The parameterization skill is first assessed with the High Mountain Asia Snow Reanalysis (HMASR), and three of them are implemented in the ORCHIDEE land surface model (LSM) and tested in global land-atmosphere coupled simulations. HMASR includes snow depth (SD) uncertainties, which may be due to the elevation differences between in situ stations and HMASR grid cells. Nevertheless, the SCF-SD relationship varies greatly between mountainous and flat areas in HMASR, especially during the snow-melting period. The new parameterizations that include a dependency on the subgrid topography allow a significant SCF bias reduction, reaching 5 % to 10 % on average in the global simulations over mountainous areas, which in turn leads to a reduction of the surface cold bias from - 1.8 circle C to about - 1 circle C in High Mountain Asia (HMA). Furthermore, the seasonal hysteresis between SCF and SD found in HMASR is better captured in the parameterizations that split the accumulation and the depletion curves or that include a dependency on the snow density. The deep-learning SCF parameterization is promising but exhibits more resolution-dependent and region-dependent features. Persistent snow cover biases remain in global land-atmosphere experiments. This suggests that other model biases may be intertwined with the snow biases and points out the need to continue improving snow models and their calibration. Increasing the model resolution does not consistently reduce the simulated SCF biases, although biases get narrower around mountain areas. This study highlights the complexity of calibrating SCF parameterizations since they affect various land-atmosphere feedbacks. In summary, this research spots the importance of considering topography in SCF parameterizations and the challenges in accurately representing snow cover in mountainous regions. It calls for further efforts to improve the representation of subgrid-scale processes affecting snowpack in climate models.</t>
  </si>
  <si>
    <t>; Ménégoz, Martin/AAE-3523-2020; OTTLE, Catherine/K-3895-2012; Krinner, Gerhard/A-6450-2011; Lalande, Mickael/PYW-1434-2026</t>
  </si>
  <si>
    <t>Lalande, Mickaël/0000-0001-5014-5249; Ménégoz, Martin/0000-0001-7098-9270; OTTLE, Catherine/0000-0003-1304-6414;</t>
  </si>
  <si>
    <t>DEC 4</t>
  </si>
  <si>
    <t>10.5194/tc-17-5095-2023</t>
  </si>
  <si>
    <t>WOS:001168786600001</t>
  </si>
  <si>
    <t>Rangel, RC; Ohara, N; Parsekian, AD; Jones, BM</t>
  </si>
  <si>
    <t>Rangel, R. C.; Ohara, N.; Parsekian, A. D.; Jones, B. M.</t>
  </si>
  <si>
    <t>Arctic Tundra Lake Drainage Increases Snow Storage in Drifts</t>
  </si>
  <si>
    <t>JOURNAL OF GEOPHYSICAL RESEARCH-EARTH SURFACE</t>
  </si>
  <si>
    <t>Snowdrifts formed by wind transported snow deposition represent a vital component of the earth surface processes on Arctic tundra. Snow accumulation on steep slopes particularly at the margins of rivers, coasts, lakes, and drained lake basins (DLBs) comprise a significant water storage component for the ecosystem during spring and summer snowmelt. The tundra landscape is in constant change as lakes drain, substantially altering the surface morphology that partially controls how snow drifts and accumulates throughout the cold seasons. Here, we combine field measurements, remote sensing observations, and snow modeling to investigate how lake drainage affects snow redistribution at Inigok on the Arctic Coastal Plain of Alaska, where the snow movement is controlled by wind. Field observations included measurements of snow depth using ground penetrating radar and probe. We mapped mid-July snow cover and modeled snow redistribution before and after drainage simulation for 33 lakes (similar to 30 km(2)) in our study area (similar to 140 km(2)). Our results show the advantage of using a wide range of snow depth measurements on frozen lakes, DLBs, and upland to validate the snow modeling in order to capture the variability inherent in the landscape. The lake drainage simulation suggests an increase in snow storage of up to similar to 24% at DLBs compared to extant lakes, similar to 35% considering only snowdrifts (assumed as &gt;= 1 m depth), and similar to 4% considering the whole study area. This increase in snow accumulation could significantly impact the landscape when it melts, including wildlife, vegetation, biogeochemical processes, and potential natural hazards like snow-dam outburst floods. Plain Language Summary Snowdrift is formed when snow accumulates on hills due to wind transport and it is a vital source of water when the snow melts during the spring and summer. Lake drainage in the Arctic tundra creates ideal topographical conditions for snowdrift formation. This study combines field measurements of snow depth, remote sensing observations of summer snow cover, lake drainage simulation, and snow modeling to quantify how much snow is stored in drifts before and after lake drainage. Our study site is in Inigok on the Arctic Coastal Plain of Alaska, where wind controls the snow transport. We simulated lake drainage and calculated the volume of snow that is stored in the drained basins. We found that snow accumulation in drifts increases after lake drainage. The larger the lake, the higher the amount of snow stored in the basin after drainage.</t>
  </si>
  <si>
    <t>Correa Rangel, Roigo/GRS-5496-2022</t>
  </si>
  <si>
    <t>Correa Rangel, Roigo/0000-0003-4934-7016; Jones, Benjamin/0000-0002-1517-4711; Parsekian, Andrew/0000-0001-5072-9818; Ohara, Noriaki/0000-0002-7829-0779</t>
  </si>
  <si>
    <t>2169-9003</t>
  </si>
  <si>
    <t>2169-9011</t>
  </si>
  <si>
    <t>e2023JF007294</t>
  </si>
  <si>
    <t>10.1029/2023JF007294</t>
  </si>
  <si>
    <t>WOS:001066231500001</t>
  </si>
  <si>
    <t>Raghubanshi, S; Agrawal, R; Rathore, BP</t>
  </si>
  <si>
    <t>Raghubanshi, Sudhanshu; Agrawal, Ritesh; Rathore, Bhanu Prakash</t>
  </si>
  <si>
    <t>Enhanced snow cover mapping using object-based classification and normalized difference snow index (NDSI)</t>
  </si>
  <si>
    <t>The study aims to improve the classification and mapping of snow cover over the Himalayan region, which is essential for assessing water availability and understanding hydrological and climatic interactions. The normalized difference snow index (NDSI) is a traditional digital classification method for snow cover mapping. However, it is not always effective in differentiating snow from other features such as water bodies and shadows of mountain hills. In this study, an improved methodology for snow cover mapping was developed using an object-based classification with NDSI and normalized difference water index (NDWI) over segmented objects instead of pixels to separate snow and water with reduced noise. Shepherd segmentation was used to generate spatially homogeneous objects associated with ground cover features. The study focused on the Chandra basin in Himachal Pradesh, India, using an Indian Remote Sensing Satellite (IRS-P6) LISS-III optical image from 30-09-2016. The developed framework was tested using an object-based NDSI classification and further improved with an object-based NDSI-NDWI classification and validated against a manually digitized snow cover map. Validation showed that the object-based NDSI-NDWI classification provided a significant improvement in snow cover mapping compared to traditional NDSI classification, reducing the overestimation of snow-covered areas by up to 6.14%. The developed methodology was executed in the Python environment with efficient computing power. This study demonstrates that an integrated analysis of object-based classification with NDSI and NDWI, can significantly improve snow cover mapping by separating non-snow features. The results of this study show that they have the potential to be extended to larger regions with snow cover.</t>
  </si>
  <si>
    <t>2023 AUG 15</t>
  </si>
  <si>
    <t>10.1007/s12145-023-01077-6</t>
  </si>
  <si>
    <t>AUG 2023</t>
  </si>
  <si>
    <t>WOS:001048036100001</t>
  </si>
  <si>
    <t>Chen, RY; Bennartz, R</t>
  </si>
  <si>
    <t>Chen, Ruiyao; Bennartz, Ralf</t>
  </si>
  <si>
    <t>A Deep-Learning Scheme for Hydrometeor Type Classification Using Passive Microwave Observations</t>
  </si>
  <si>
    <t>This paper proposes a novel approach for hydrometeor classification using passive microwave observations. The use of passive measurements for this purpose has not been extensively explored, despite being available for over four decades. We utilize the Micro-Wave Humidity Sounder-2 (MWHS-2) to relate microwave brightness temperatures to hydrometeor types derived from the global precipitation measurement's (GPM) dual-frequency precipitation radar (DPR), which are classified into liquid, mixed, and ice phases. To achieve this, we utilize a convolutional neural network model with an attention mechanism that learns feature representations of MWHS-2 observations from spatial and temporal dimensions. The proposed algorithm classified hydrometeors with 84.7% accuracy using testing data and captured the geographical characteristics of hydrometeor types well in most areas, especially for frozen precipitation. We then evaluated our results by comparing predictions from a different year against DPR retrievals seasonally and globally. Our global annual cycles of precipitation occurrences largely agreed with DPR retrievals with biases being 8.4%, -11.8%, and 3.4%, respectively. Our approach provides a promising direction for utilizing passive microwave observations and deep-learning techniques in hydrometeor classification, with potential applications in the time-resolved observations of precipitation structure and storm intensity with a constellation of smallsats (TROPICS) algorithm development.</t>
  </si>
  <si>
    <t>Chen, Ruiyao/AAJ-8705-2020</t>
  </si>
  <si>
    <t>Chen, Ruiyao/0000-0003-3434-3725</t>
  </si>
  <si>
    <t>MAY 20</t>
  </si>
  <si>
    <t>10.3390/rs15102670</t>
  </si>
  <si>
    <t>WOS:000997120200001</t>
  </si>
  <si>
    <t>Daudt, RC; Wulf, H; Hafner, ED; Bühler, Y; Schindler, K; Wegner, JD</t>
  </si>
  <si>
    <t>Daudt, Rodrigo Caye; Wulf, Hendrik; Hafner, Elisabeth D.; Buehler, Yves; Schindler, Konrad; Wegner, Jan Dirk</t>
  </si>
  <si>
    <t>Snow depth estimation at country-scale with high spatial and temporal resolution</t>
  </si>
  <si>
    <t>Monitoring snow depth is important for applications such as hydrology, energy planning, ecology, and safety evaluation for outdoor winter activities. Most methods able to estimate snow depth for large regions can only do so in a spatial resolution of up to 1 km ground sampling distance (GSD). This limits their usage in high alpine areas, where this resolution fails to capture local snow distribution patterns caused by the pronounced topographical features. In this work we use a recurrent convolutional neural network to estimate snow depth at high spatial resolution (10 m GSD), weekly, and at large scale based on satellite data sources and elevation maps, without the need for measurement stations on the ground. The proposed method achieves unprecedented results for large-scale, high-resolution snow depth mapping. The resulting maps are evaluated over a period of three years against high-fidelity snow depth maps obtained with airborne photogrammetry. Finally, we also produce well-calibrated uncertainty estimates for every individual snow depth estimate via a probabilistic regression framework.</t>
  </si>
  <si>
    <t>Wulf, Henik/G-1291-2012; Bühler, Yves/B-9859-2011</t>
  </si>
  <si>
    <t>Wulf, Henik/0000-0002-6161-428X; Caye Daudt, Rodrigo/0000-0002-4952-9736; Bühler, Yves/0000-0002-0815-2717</t>
  </si>
  <si>
    <t>MAR</t>
  </si>
  <si>
    <t>10.1016/j.isprsjprs.2023.01.017</t>
  </si>
  <si>
    <t>FEB 2023</t>
  </si>
  <si>
    <t>WOS:000931155100001</t>
  </si>
  <si>
    <t>Ma, Y; Shao, DH; Wang, J; Li, HJ; Zhao, HY; Ji, WZ</t>
  </si>
  <si>
    <t>Ma, Yuan; Shao, Donghang; Wang, Jian; Li, Haojie; Zhao, Hongyu; Ji, Wenzheng</t>
  </si>
  <si>
    <t>Estimating Fractional Snow Cover in the Pan-Arctic Region Using Added Vegetation Extraction Algorithm</t>
  </si>
  <si>
    <t>Snow cover is an essential indicator of global climate change. The composition of the underlying surface in the Pan-Arctic region is complex; forest and other areas with high vegetation coverage have a significant influence on the retrieval accuracy of fractional snow cover (FSC). Therefore, to explore the impact of vegetation on the extraction of the FSC algorithm, this study developed the normalized difference vegetation index (NDVI)-based Bivariate Linear Regression Model (BV-BLRM) to calculate the FSC. Then, the overall accuracy of the model and its changes under different classification conditions were evaluated and the relationship between the accuracy improvement and different underlying surfaces and elevations was analyzed. The results show that the BV-BLRM model is more accurate than MODIS's traditional univariate linear algorithm for FSC (MOD-FSC) in each underlying surface. Overall, regarding the accuracy of the BV-BLRM model, the RMSE is 0.2, MAE is 0.15, and accuracy is 28.6% higher than the MOD-FSC model. The newly developed BV-BLRM model has the most significant improvement in the accuracy of FSC retrieval when the underlying surface has high vegetation coverage. Under different classification accuracies, the accuracy of BV-BLRM model was higher than that of MOD-FSC model, with an average of 30.5%. The improvement of FSC extraction accuracy by the model is smaller when the underlying surface is perpetual snow zone, with an average of 12.2%. This study is applicable to the scale mapping of FSC in large areas and is helpful to improve the FSC accuracy in areas with high vegetation coverage.</t>
  </si>
  <si>
    <t>Shao, Donghang/0000-0002-6681-3640; Hongyu, Zhao/0000-0001-8756-0104</t>
  </si>
  <si>
    <t>10.3390/rs15030775</t>
  </si>
  <si>
    <t>WOS:000930208800001</t>
  </si>
  <si>
    <t>Tanniru, S; Ramsankaran, R</t>
  </si>
  <si>
    <t>Tanniru, Srinivasarao; Ramsankaran, Raaj</t>
  </si>
  <si>
    <t>Passive Microwave Remote Sensing of Snow Depth: Techniques, Challenges and Future Directions</t>
  </si>
  <si>
    <t>Monitoring snowpack depth is essential in many applications at regional and global scales. Space-borne passive microwave (PMW) remote sensing observations have been widely used to estimate snow depth (SD) information for over four decades due to their responsiveness to snowpack characteristics. Many approaches comprised of static and dynamic empirical models, non-linear, machine-learning-based models, and assimilation approaches have been developed using spaceborne PMW observations. These models cannot be applied uniformly over all regions due to inherent limitations in the modelling approaches. Further, the global PMW SD products have masked out in their coverage critical regions such as the Himalayas, as well as very high SD regions, due to constraints triggered by prevailing topographical and snow conditions. Therefore, the current review article discusses different models for SD estimation, along with their merits and limitations. Here in the review, various SD models are grouped into four types, i.e., static, dynamic, assimilation-based, and machine-learning-based models. To demonstrate the rationale behind these drawbacks, this review also details various causes of uncertainty, and the challenges present in the estimation of PMW SD. Finally, based on the status of the available PMW SD datasets, and SD estimation techniques, recommendations for future research are included in this article.</t>
  </si>
  <si>
    <t>Ramsankaran, RAAJ/B-9198-2008; Tanniru, SrinivasaRao/F-1862-2013</t>
  </si>
  <si>
    <t>Ramsankaran, RAAJ/0000-0001-8602-1934; Tanniru, SrinivasaRao/0000-0002-6632-6893</t>
  </si>
  <si>
    <t>10.3390/rs15041052</t>
  </si>
  <si>
    <t>WOS:000941731300001</t>
  </si>
  <si>
    <t>Zalatan, B; Rahnemoonfar, M</t>
  </si>
  <si>
    <t>Zalatan, Benjamin; Rahnemoonfar, Maryam</t>
  </si>
  <si>
    <t>PREDICTION OF ANNUAL SNOW ACCUMULATION USING A RECURRENT GRAPH CONVOLUTIONAL APPROACH</t>
  </si>
  <si>
    <t>The precise tracking and prediction of polar ice layers can unveil historic trends in snow accumulation. In recent years, airborne radar sensors, such as the Snow Radar, have been shown to be able to measure these internal ice layers over large areas with a fine vertical resolution. In our previous work, we found that temporal graph convolutional networks perform reasonably well in predicting future snow accumulation when given temporal graphs containing deep ice layer thickness. In this work, we experiment with a graph attention network-based model and used it to predict more annual snow accumulation data points with fewer input data points on a larger dataset. We found that these large changes only very slightly negatively impacted performance.</t>
  </si>
  <si>
    <t>10.1109/IGARSS52108.2023.10283236</t>
  </si>
  <si>
    <t>WOS:001098971605131</t>
  </si>
  <si>
    <t>Cui, GT; Anderson, M; Bales, R</t>
  </si>
  <si>
    <t>Cui, Guotao; Anderson, Michael; Bales, Roger</t>
  </si>
  <si>
    <t>Mapping of snow water equivalent by a deep-learning model assimilating snow observations</t>
  </si>
  <si>
    <t>To estimate snowpack water storage in mountain basins, this study presents a framework that couples a deep -learning long short-term memory (LSTM) model and a zonal bias-correction approach for assimilating ground snow observations. We explored the framework's ability for snow water equivalent (SWE) mapping and fore-casting in a domain, including the Feather, Yuba-Bear, and American River basins in California's Sierra Nevada. Through a series of different modeling experiments, performances of the LSTM model and bias-correction approach were independently investigated. The LSTM model trained with meteorological forcing (precipita-tion and temperature), landscape attributes, and antecedent lagged snow conditions, showed good agreement with SWE reanalysis data (Nash-Sutcliffe efficiency, NSE = 0.99). However, for continuous SWE projection without using SWE reanalysis as the antecedent snow condition, the LSTM model underestimated basin-scale and site-scale SWE (NSE = 0.19), reflecting large discrepancies since model bias accumulates over time. Thus, a zonal inverse-distance-weighting (IDW) bias-correction approach was proposed to assimilate ground observations and correct model trajectory. With the bias correction, SWE estimates were significantly improved (NSE = 0.79). The zonal IDW approach accounts for snow differences across different areas by zonal distance, based on historical snow patterns, showing better predictions than the original IDW, which showed larger biases in complex terrain with a rain shadow. We observed that SWE estimates from the framework were not sensitive to the difference in precipitation and temperature forcings between observation-based data and one-day-ahead weather forecasts, suggesting that the framework can use weather-forecast forcing for snowpack forecasting. Comparison between results from monthly and daily bias corrections showed that increasing bias-correction frequency and integrating more snow observations can further improve SWE estimates. Using the continuous SWE products, analyses of 170 precipitation events showed that snowmelt often occurred when daily temperature was above 3.7 degrees C, aug-menting runoff. The proposed framework leverages ground observations and a deep-learning model to provide daily gridded snowpack estimates, which are important for runoff forecasting and water supply.</t>
  </si>
  <si>
    <t>Cui, Guotao/H-4126-2019</t>
  </si>
  <si>
    <t>Cui, Guotao/0000-0001-8074-5544</t>
  </si>
  <si>
    <t>10.1016/j.jhydrol.2022.128835</t>
  </si>
  <si>
    <t>NOV 2022</t>
  </si>
  <si>
    <t>WOS:000895782900005</t>
  </si>
  <si>
    <t>Kumar, S; Narayan, A; Mehta, D; Snehmani</t>
  </si>
  <si>
    <t>Kumar, Sanjeev; Narayan, Abhishek; Mehta, Devinder; Snehmani</t>
  </si>
  <si>
    <t>Snow cover characterization using C-band polarimetric SAR in parts of the Himalaya</t>
  </si>
  <si>
    <t>ADVANCES IN SPACE RESEARCH</t>
  </si>
  <si>
    <t>Assessment of the snow cover state in the initiation zone of an avalanche is essential for the snow avalanche hazard mapping in the mountainous region. Seasonal snow cover is very dynamic in the Himalaya and changes its state from dry to moist or wet according to temperature during the progression of winter. In this study, a methodology based on decomposition techniques using polarimetric syn-thetic aperture radar (SAR) data in conjunction with field snow wetness profiles is adapted for characterization of snow cover into dry and moist or wet snow in the Himalayan region. C-band Radarsat-2 full-polarization SAR data is utilized for polarimetric descriptors generation by applying various in-coherent target decomposition techniques, viz., Yamaguchi 4-component, Freeman Durden 3 -component and Wishart Unsupervised (H -a). The generated polarimetric descriptors, viz., surface, volume, double-bounce and helix scattering are utilized in the supervised classification and Entropy (H) and mean scattering angle (a) for understanding the underlying scattering process happening within the snowpack. These decomposition models although describes various physical scattering mecha-nisms but are inadequate to provide quantitative estimates of underlying physical properties (as in our case changes in snowpack wet-ness). A supervised classification based on support vector machine (SVM) is used to characterize snow cover with changing conditions of snow wetness from dry to moist or wet. Three data sets of snow-accumulation and snow-melt period of winter 2015 are processed and analyzed along with field snow wetness (% by volume) profiles. A total 47 Nos. of snow wetness profiles of the snowpack are collected using snow fork instrument in synchronous with satellite passes at well distributed, identifiable field locations and are used in the training (34 Nos.) and testing (13 Nos.) of the SVM model. Snow being heterogeneous material varies metamorphically within snowpack. Based on changing weather conditions and sun exposure duration, it results into different scattering behavior in microwave region of the elec-tromagnetic spectrum. It has been qualitatively observed from target decomposition results that polarimetric descriptors generated using Yamaguchi 4-component scattering decomposition have better captured the increase in the surface scattering (during February and March imagery, due to wet snow conditions of snow cover) from volume scattering (during January imagery, due to dry or moist snow conditions) from seasonal snowpack over the acquisition period from January to March 2015. Further to understand and comprehend the scattering process in the snowpack metamorphism with time, Wishart unsupervised (H -a) classification has been applied on all Radarsat-2 datasets. It was observed in the Himalayan region that during 29 Jan 2015 under dry snow conditions, anisotropic and mul-tiple scattering processes dominates and during period between 22 Feb 2015 and 18 Mar 2015 under moist or wet snow conditions the dipole and Bragg type scattering are dominating. A confusion matrix has been generated for the accuracy assessment of the SVM based classification results, which shows overall accuracy -79.6 % (for 29 Jan 2015), 72.4 % (for 22 Feb 2015) and 74.5 % (for 18 Mar 2015), respectively with the testing samples. The C-band polarimetric SAR data shown its capability for snow cover type characterization and can be applied for operational applications in the avalanche zones of the snow bound terrain. (c) 2022 COSPAR. Published by Elsevier B.V. All rights reserved.</t>
  </si>
  <si>
    <t>0273-1177</t>
  </si>
  <si>
    <t>1879-1948</t>
  </si>
  <si>
    <t>10.1016/j.asr.2022.10.012</t>
  </si>
  <si>
    <t>WOS:000897695100001</t>
  </si>
  <si>
    <t>Hu, JM; Shean, D</t>
  </si>
  <si>
    <t>Hu, J. Michelle; Shean, David</t>
  </si>
  <si>
    <t>Improving Mountain Snow and Land Cover Mapping Using Very-High-Resolution (VHR) Optical Satellite Images and Random Forest Machine Learning Models</t>
  </si>
  <si>
    <t>Very-high-resolution (VHR) optical imaging satellites can offer precise, accurate, and direct measurements of snow-covered areas (SCA) with sub-meter to meter-scale resolution in regions of complex land cover and terrain. We explore the potential of Maxar WorldView-2 and WorldView-3 in-track stereo images (WV) for land and snow cover mapping at two sites in the Western U.S. with different snow regimes, topographies, vegetation, and underlying geology. We trained random forest models using combinations of multispectral bands and normalized difference indices (i.e., NDVI) to produce land cover maps for priority feature classes (snow, shaded snow, vegetation, water, and exposed ground). We then created snow-covered area products from these maps and compared them with coarser resolution satellite fractional snow-covered area (fSCA) products from Landsat (similar to 30 m) and MODIS (similar to 500 m). Our models generated accurate classifications, even with limited combinations of available multispectral bands. Models trained on a single image demonstrated limited model transfer, with best results found for in-region transfers. Coarser-resolution Landsat and MODSCAG fSCA products identified many more pixels as completely snow-covered (100% fSCA) than WV fSCA. However, while MODSCAG fSCA products also identified many more completely snow-free pixels (0% fSCA) than WV fSCA, Landsat fSCA products only slightly underestimated the number of completely snow-free pixels. Overall, our results demonstrate that strategic image observations with VHR satellites such as WorldView-2 and WorldView-3 can complement the existing operational snow data products to map the evolution of seasonal snow cover.</t>
  </si>
  <si>
    <t>Hu, J. Michelle/0000-0002-2966-5677; Shean, David/0000-0003-3840-3860</t>
  </si>
  <si>
    <t>10.3390/rs14174227</t>
  </si>
  <si>
    <t>WOS:000851926800001</t>
  </si>
  <si>
    <t>Yin, MJ; Wang, P; Ni, C; Hao, WL</t>
  </si>
  <si>
    <t>Yin, Meijie; Wang, Peng; Ni, Cui; Hao, Weilong</t>
  </si>
  <si>
    <t>Cloud and snow detection of remote sensing images based on improved Unet3+</t>
  </si>
  <si>
    <t>SCIENTIFIC REPORTS</t>
  </si>
  <si>
    <t>Cloud detection is an important step in remote sensing image processing and a prerequisite for subsequent analysis and interpretation of remote sensing images. Traditional cloud detection methods are difficult to accurately detect clouds and snow with very similar features such as color and texture. In this paper, the features of cloud and snow in remote sensing images are deeply extracted, and an accurate cloud and snow detection method is proposed based on the advantages of Unet3+ network in feature fusion. Firstly, color space conversion is performed on remote sensing images, RGB images and HIS images are used as input of Unet3+ network. Resnet 50 is used to replace the Unet3+ feature extraction network to extract remote sensing image features at a deeper level, and add the Convolutional Block Attention Module in Resnet50 to improve the network's attention to cloud and snow. Finally, the weighted cross entropy loss is constructed to solve the problem of unbalanced sample number caused by high proportion of background area in the image. The results show that the proposed method has strong adaptability and moderate computation. The mPA value, mIoU value and mPrecision value can reach 92.76%, 81.74% and 86.49%, respectively. Compared with other algorithms, the proposed method can better eliminate all kinds of interference information in remote sensing images of different landforms and accurately detect cloud and snow in images.</t>
  </si>
  <si>
    <t>Hao, Weilong/C-4923-2009</t>
  </si>
  <si>
    <t>2045-2322</t>
  </si>
  <si>
    <t>AUG 24</t>
  </si>
  <si>
    <t>10.1038/s41598-022-18812-6</t>
  </si>
  <si>
    <t>WOS:000845011100055</t>
  </si>
  <si>
    <t>Lund, J; Forster, RR; Deeb, EJ; Liston, GE; Skiles, SM; Marshall, HP</t>
  </si>
  <si>
    <t>Lund, Jewell; Forster, Richard R.; Deeb, Elias J.; Liston, Glen E.; Skiles, S. McKenzie; Marshall, Hans-Peter</t>
  </si>
  <si>
    <t>Interpreting Sentinel-1 SAR Backscatter Signals of Snowpack Surface Melt/Freeze, Warming, and Ripening, through Field Measurements and Physically-Based SnowModel</t>
  </si>
  <si>
    <t>The transition of a cold winter snowpack to one that is ripe and contributing to runoff is crucial to gauge for water resource management, but is highly variable in space and time. Snow surface melt/freeze cycles, associated with diurnal fluctuations in radiative inputs, are hallmarks of this transition. C-band synthetic aperture radar (SAR) reliably detects meltwater in the snowpack. Sentinel-1 (S1) C-band SAR offers consistent acquisition patterns that allow for diurnal investigations of melting snow. We used over 50 snow pit observations from 2020 in Grand Mesa, Colorado, USA, to track temperature and wetness in the snowpack as a function of depth and time during snowpack phases of warming, ripening, and runoff. We also ran the physically-based SnowModel, which provided a spatially and temporally continuous independent indication of snowpack conditions. Snowpack phases were identified and corroborated by comparing field measurements with SnowModel outputs. Knowledge of snowpack warming, ripening, and runoff phases was used to interpret diurnal changes in S1 backscatter values. Both field measurements and SnowModel simulations suggested that S1 SAR was not sensitive to the initial snowpack warming phase on Grand Mesa. In the ripening and runoff phases, the diurnal cycle in S1 SAR co-polarized backscatter was affected by both surface melt/freeze as well as the conditions of the snowpack underneath (ripening or ripe). The ripening phase was associated with significant increases in morning backscatter values, likely due to volume scattering from surface melt/freeze crusts, as well as significant decreases in evening backscatter values associated with snowmelt. During the runoff phase, both morning and evening backscatter decreased compared to reference values. These unique S1 diurnal signatures, and their interpretations using field measurements and SnowModel outputs, highlight the capacities and limitations of S1 SAR to understand snow surface states and bulk phases, which may offer runoff forecasting or energy balance model validation or parameterization, especially useful in remote or sparsely-gauged alpine basins.</t>
  </si>
  <si>
    <t>; Marshall, Hans-Peter/A-2374-2010; Lund, Jewell/LDF-4869-2024</t>
  </si>
  <si>
    <t>Skiles, S McKenzie/0000-0002-7726-6355; Lund, Jewell/0000-0002-4580-9685</t>
  </si>
  <si>
    <t>10.3390/rs14164002</t>
  </si>
  <si>
    <t>WOS:000846639000001</t>
  </si>
  <si>
    <t>John, A; Cannistra, AF; Yang, KH; Tan, A; Shean, D; Lambers, JHR; Cristea, N</t>
  </si>
  <si>
    <t>John, Aji; Cannistra, Anthony F.; Yang, Kehan; Tan, Amanda; Shean, David; Lambers, Janneke Hille Ris; Cristea, Nicoleta</t>
  </si>
  <si>
    <t>High-Resolution Snow-Covered Area Mapping in Forested Mountain Ecosystems Using PlanetScope Imagery</t>
  </si>
  <si>
    <t>Improving high-resolution (meter-scale) mapping of snow-covered areas in complex and forested terrains is critical to understanding the responses of species and water systems to climate change. Commercial high-resolution imagery from Planet Labs, Inc. (Planet, San Francisco, CA, USA) can be used in environmental science, as it has both high spatial (0.7-3.0 m) and temporal (1-2 day) resolution. Deriving snow-covered areas from Planet imagery using traditional radiometric techniques have limitations due to the lack of a shortwave infrared band that is needed to fully exploit the difference in reflectance to discriminate between snow and clouds. However, recent work demonstrated that snow cover area (SCA) can be successfully mapped using only the PlanetScope 4-band (Red, Green, Blue and NIR) reflectance products and a machine learning (ML) approach based on convolutional neural networks (CNN). To evaluate how additional features improve the existing model performance, we: (1) build on previous work to augment a CNN model with additional input data including vegetation metrics (Normalized Difference Vegetation Index) and DEM-derived metrics (elevation, slope and aspect) to improve SCA mapping in forested and open terrain, (2) evaluate the model performance at two geographically diverse sites (Gunnison, Colorado, USA and Engadin, Switzerland), and (3) evaluate the model performance over different land-cover types. The best augmented model used the Normalized Difference Vegetation Index (NDVI) along with visible (red, green, and blue) and NIR bands, with an F-score of 0.89 (Gunnison) and 0.93 (Engadin) and was found to be 4% and 2% better than when using canopy height- and terrain-derived measures at Gunnison, respectively. The NDVI-based model improves not only upon the original band-only model's ability to detect snow in forests, but also across other various land-cover types (gaps and canopy edges). We examined the model's performance in forested areas using three forest canopy quantification metrics and found that augmented models can better identify snow in canopy edges and open areas but still underpredict snow cover under forest canopies. While the new features improve model performance over band-only options, the models still have challenges identifying the snow under trees in dense forests, with performance varying as a function of the geographic area. The improved high-resolution snow maps in forested environments can support studies involving climate change effects on mountain ecosystems and evaluations of hydrological impacts in snow-dominated river basins.</t>
  </si>
  <si>
    <t>; Cannistra, Anthony/MCY-6687-2025; Cristea, Nicoleta/P-6245-2019; John, Aji/LEL-7865-2024; Yang, Kehan/AAQ-9081-2020</t>
  </si>
  <si>
    <t>Lehr, Amanda/0000-0003-4891-7435; Cannistra, Anthony/0000-0002-9852-6291; HilleRisLambers, Janneke/0000-0001-5523-0354; Cristea, Nicoleta/0000-0002-9091-0280; John, Aji/0000-0002-4401-1401; Shean, David/0000-0003-3840-3860;</t>
  </si>
  <si>
    <t>10.3390/rs14143409</t>
  </si>
  <si>
    <t>WOS:000832031600001</t>
  </si>
  <si>
    <t>Yao, HM; Zhang, YM; Jiang, LJ; Ewe, HT; Ng, M</t>
  </si>
  <si>
    <t>Yao, Heming; Zhang, Yanming; Jiang, Lijun; Ewe, Hong Tat; Ng, Michael</t>
  </si>
  <si>
    <t>Snow Parameters Inversion from Passive Microwave Remote Sensing Measurements by Deep Convolutional Neural Networks</t>
  </si>
  <si>
    <t>SENSORS</t>
  </si>
  <si>
    <t>This paper proposes a novel inverse method based on the deep convolutional neural network (ConvNet) to extract snow's layer thickness and temperature via passive microwave remote sensing (PMRS). The proposed ConvNet is trained using simulated data obtained through conventional computational electromagnetic methods. Compared with the traditional inverse method, the trained ConvNet can predict the result with higher accuracy. Besides, the proposed method has a strong tolerance for noise. The proposed ConvNet composes three pairs of convolutional and activation layers with one additional fully connected layer to realize regression, i.e., the inversion of snow parameters. The feasibility of the proposed method in learning the inversion of snow parameters is validated by numerical examples. The inversion results indicate that the correlation coefficient (R-2) ratio between the proposed ConvNet and conventional methods reaches 4.8, while the ratio for the root mean square error (RMSE) is only 0.18. Hence, the proposed method experiments with a novel path to improve the inversion of passive microwave remote sensing through deep learning approaches.</t>
  </si>
  <si>
    <t>ZHANG, Yanming/HPB-9497-2023; Yao, Heming/JKI-3333-2023; Ng, Michael/B-7189-2009; Ewe, Hong/C-1258-2012</t>
  </si>
  <si>
    <t>ZHANG, Yanming/0000-0002-6113-2168;</t>
  </si>
  <si>
    <t>1424-8220</t>
  </si>
  <si>
    <t>10.3390/s22134769</t>
  </si>
  <si>
    <t>WOS:000825604900001</t>
  </si>
  <si>
    <t>Yang, JW; Jiang, LM; Pan, JM; Shi, JC; Wu, SL; Wang, J; Pan, FB</t>
  </si>
  <si>
    <t>Yang, Jianwei; Jiang, Lingmei; Pan, Jinmei; Shi, Jiancheng; Wu, Shengli; Wang, Jian; Pan, Fangbo</t>
  </si>
  <si>
    <t>Comparison of Machine Learning-Based Snow Depth Estimates and Development of a New Operational Retrieval Algorithm over China</t>
  </si>
  <si>
    <t>Snow depth estimation with passive microwave (PM) remote sensing is challenged by spatial variations in the Earth's surface, e.g., snow metamorphism, land cover types, and topography. Thus, traditional static snow depth retrieval algorithms cannot capture snow thickness well. In this study, we present a new operational retrieval algorithm, hereafter referred to as the pixel-based method (0.25 degrees x 0.25 degrees grid-level), to provide more accurate and nearly real-time snow depth estimates. First, the reference snow depth was retrieved using a previously proposed model in which a microwave snow emission model was coupled with a machine learning (ML) approach. In this process, an effective grain size (effGS) value was optimized by utilizing the snow microwave emission model, and then the nonlinear relationship between snow depth and multiple predictive variables, e.g., effGS, longitude, elevation, and brightness temperature (Tb) gradients, was established with the ML technique to retrieve reference snow depth data. To select a robust and well-performing ML approach, we compared the performance of widely used support vector regression (SVR), artificial neural network (ANN) and random forest (RF) algorithms over China. The results show that the three ML models performed similarly in snow depth estimation, which was attributed to the inclusion of effGS in the training samples. In this study, the RF model was used to retrieve the snow depth reference dataset due to its slightly stronger robustness according to our comparison of results. Second, the pixel-based algorithm was built based on the retrieved reference snow depth dataset and satellite Tb observations (18.7 GHz and 36.5 GHz) from Advanced Microwave Scanning Radiometer 2 (AMSR2) during the 2012-2020 period. For the pixel-based algorithm, the fitting coefficients were achieved dynamically pixel by pixel, making it superior to the traditional static methods. Third, the built pixel-based algorithm was verified using ground-based observations and was compared to the AMSR2, GlobSnow-v3.0, and ERA5-land products during the 2012-2020 period. The pixel-based algorithm exhibited an overall unbiased root mean square error (unRMSE) and R-2 of 5.8 cm and 0.65, respectively, outperforming GlobSnow-v3.0, with unRMSE and R-2 values of 9.2 cm and 0.22, AMSR2, with unRMSE and R-2 values of 18.5 cm and 0.13, and ERA5-land, with unRMSE and R-2 values of 10.5 cm and 0.33, respectively. However, the pixel-based algorithm estimates were still challenged by the complex terrain, e.g., the unRMSE was up to 17.4 cm near the Tien Shan Mountains. The proposed pixel-based algorithm in this study is a simple and operational method that can retrieve accurate snow depths based solely on spaceborne PM data in comparatively flat areas.</t>
  </si>
  <si>
    <t>Jiang, Lingmei/L-6099-2016; Wu, Shengli/Y-9381-2019; Pan, Fangbo/IQU-2803-2023; Shi, Jiancheng/HIU-0908-2022</t>
  </si>
  <si>
    <t>Jiang, Lingmei/0000-0002-9847-9034; 施, 建成/0000-0002-6163-2912; Pan, Jinmei/0000-0003-2726-771X; Wu, Shengli/0000-0002-5930-3183; Pan, Fangbo/0000-0002-4780-2313;</t>
  </si>
  <si>
    <t>10.3390/rs14122800</t>
  </si>
  <si>
    <t>WOS:000816325700001</t>
  </si>
  <si>
    <t>Barella, R; Marin, C; Gianinetto, M; Notarnicola, C</t>
  </si>
  <si>
    <t>Barella, Riccardo; Marin, Carlo; Gianinetto, Marco; Notarnicola, Claudia</t>
  </si>
  <si>
    <t>A NOVEL APPROACH TO HIGH RESOLUTION SNOW COVER FRACTION RETRIEVAL IN MOUNTAINOUS REGIONS</t>
  </si>
  <si>
    <t>The mapping of the snow cover from optical remote sensing is a largely investigated topic that still present some challenges especially in mountainous areas when high resolution time series are exploited. Providing reliable maps in all the acquisition conditions is limited by topographic effects such as shadows, sunglint on snow and atmospheric disturbances. If these effects are not corrected, the state of the art methods are generally failing. Support vector machine (SVM) proved to be an effective tool for dealing with classification problems, even when data are noisy and the classes are not linearly separable. In this work, we propose an unsupervised approach to snow cover fraction retrieval that collect snow and snow free samples to train a model tailored for the specific acquisition conditions of each image. The method has been applied in different test sites in the Alps. For a quantitative evaluation of the result, we used a snow maps derived by very high resolution images acquired in challenging situations of fractional snow cover and low sun elevation.</t>
  </si>
  <si>
    <t>; Gianinetto, Marco/D-6251-2011</t>
  </si>
  <si>
    <t>Notarnicola, Claudia/0000-0003-1968-0125; Barella, Riccardo/0000-0002-2920-2613</t>
  </si>
  <si>
    <t>10.1109/IGARSS46834.2022.9884177</t>
  </si>
  <si>
    <t>WOS:000920916604007</t>
  </si>
  <si>
    <t>Gao, S; Li, Z; Zhang, P; Chen, Q; Zeng, JY; Zhao, CJ; Liu, C; Zheng, ZJ</t>
  </si>
  <si>
    <t>Gao, Shuo; Li, Zhen; Zhang, Ping; Chen, Quan; Zeng, Jiangyuan; Zhao, Changjun; Liu, Chang; Zheng, Zhaojun</t>
  </si>
  <si>
    <t>Global Sensitivity Analysis of the MEMLS Model for Retrieving Snow Water Equivalent</t>
  </si>
  <si>
    <t>Sensitivity analysis (SA) of model parameters is of great importance for understanding, development, and application of models. However, the influence of snow microstructure variability on snow water equivalent retrieval from passive microwave measurements is still unclear. This article explores the parameter sensitivity of the microwave emission model of layered snowpacks (MEMLS) with improved born approximation (IBA) by using a quantitative global SA method, the extended Fourier amplitude sensitivity test (EFAST) algorithm. A deep analysis is conducted, including the sensitivity of passive microwave emission to snow parameters, the sensitivity variation analysis for different snow conditions, and the temporal properties of the parameter sensitivity. The results show the exponential correlation length, snow depth, and snow density are the three most sensitive parameters for snow without salt in the MEMLS model for the brightness temperature gradient at 18.7 and 36.5 GHz. For snow with a small salt content, the exponential correlation length, snow depth, snow temperature, and snow density are the four most sensitive parameters. Second, snow parameter variability highly affects the microwave radiation. The sensitivity values of microwave brightness temperature to snow depth gradually increase when the exponential correlation length is less than 0.25 mm and then slightly decreases with the increase of exponential correlation length and decreases along with the increase of snow density. Finally, our analysis highlights the importance to include the snow density, especially for deep snow depth, in the combination of sensitive factors in future multiparameter retrievals.</t>
  </si>
  <si>
    <t>; Zhao, Changjun/MIT-4380-2025; Zeng, Jiangyuan/AAJ-8512-2020; Liu, Chang/JCN-7173-2023; Li, Zhen/ABD-1362-2021</t>
  </si>
  <si>
    <t>陈, 权/0000-0002-6691-2235; Zhao, Changjun/0000-0002-8981-9009; Zeng, Jiangyuan/0000-0002-5039-6774; , lizhen/0000-0003-3491-0697; ZHENG, Zhaojun/0000-0002-7331-1905;</t>
  </si>
  <si>
    <t>10.1109/TGRS.2021.3134695</t>
  </si>
  <si>
    <t>WOS:000766298800027</t>
  </si>
  <si>
    <t>Hou, JL; Huang, CL; Zhang, Y; You, YH</t>
  </si>
  <si>
    <t>Hou, Jinliang; Huang, Chunlin; Zhang, Ying; You, Yuanhong</t>
  </si>
  <si>
    <t>Reconstructing a Gap-Free MODIS Normalized Difference Snow Index Product Using a Long Short-Term Memory Network</t>
  </si>
  <si>
    <t>Atmospheric disturbance, sensor malfunctions, and other factors can cause serious gap pixels in the Moderate Resolution Imaging Spectroradiometer (MODIS) normalized difference snow index (NDSI) products. In this article, MODIS NDSI gap pixels are reconstructed in a highly heterogeneous area with drastic snow accumulation and melting changes using a long short-term memory (LSTM) network. Three LSTM-based MODIS NDSI gap pixel reconstruction schemes, i.e., forward, backward, and bidirectional LSTM networks that separately use earlier, subsequent, and integrated earlier and subsequent timestamp information, are developed. NDSI information for the gap pixel is restored using the long-term spatiotemporal information for this pixel and its adjacent pixels. A case study of NDSI reconstruction in the source area of the Yellow River, northwestern China, during the 2018-2019 snow season, demonstrates that all three LSTM-based schemes can reliably generate spatiotemporally continuous NDSI data with an accuracy comparable to that of the original MODIS NDSI products under clear-sky conditions. The bidirectional LSTM-based scheme, which has the best performance, can achieve a desirable overall accuracy of 89.93%, with an omission error of 3.82% and a commission error of 6.25%, in terms of dichotomous evaluation based on in situ snow depth observations. The R-2, average RMSE, overestimation error, and underestimation error are 0.95, 5.13%, 5.39, and 6.40%, respectively, in terms of the continuous value assessment based on the gap pixels assumption. Our results demonstrate the reliability and feasibility of the LSTM-based schemes in recovering the missing values in MODIS NDSI products by deeply excavating the spatial continuity and long-time series dependence of the snow cover.</t>
  </si>
  <si>
    <t>; HUANG, CHUNLIN/G-6715-2011</t>
  </si>
  <si>
    <t>Hou, Jinliang/0000-0001-8127-7092; Zhang, Ying/0000-0002-1654-4112; HUANG, CHUNLIN/0000-0002-1366-5170; Yuanhong, You/0000-0002-7898-4674</t>
  </si>
  <si>
    <t>10.1109/TGRS.2022.3178421</t>
  </si>
  <si>
    <t>WOS:000809416400004</t>
  </si>
  <si>
    <t>Luan, WB; Zhang, XL; Xiao, PF; Wang, HD; Chen, SY</t>
  </si>
  <si>
    <t>Luan, Wenbo; Zhang, Xueliang; Xiao, Pengfeng; Wang, Huadong; Chen, Siyong</t>
  </si>
  <si>
    <t>Binary and Fractional MODIS Snow Cover Mapping Boosted by Machine Learning and Big Landsat Data</t>
  </si>
  <si>
    <t>It is promising to improve Moderate Resolution Imaging Spectroradiometer (MODIS) snow cover mapping by training effective machine learning models. However, considering the strong spatiotemporal heterogeneity of snow cover, the representativeness of training samples becomes a critical issue to ensure the model effectiveness over large areas and long terms. To deal with this issue, we propose the m-day dynamic training strategy. The core of this strategy is to divide a long-term snow cover mapping task into multiple short-term tasks with consecutive m days (m is greater or equal to the number of days that higher resolution remote sensing images used as equivalent ground references cover the study area once). It can ensure the spatial representativeness of training samples by utilizing all available equivalent ground references data, and reduce the issue caused by snow cover changing over time. We apply this strategy to random forest (RF) for both binary snow cover mapping (BSC) and fractional snow cover mapping (FSC) using Landsat-8 data as equivalent ground reference and validate its effect on the Tibetan Plateau. Results show that this strategy achieves higher accuracies than other training strategies, with F1 of 0.9596 for BSC mapping, R and mean square error (MSE) of 0.9037 and 0.0260 for FSC mapping, respectively. In addition, spatiotemporal analysis of results further demonstrates that this strategy holds advantages for snow cover mapping in areas of complex terrain and in periods when snow cover changes rapidly. In conclusion, this strategy can effectively ensure the representativeness of training samples generated from Landsat-8 data and thus improve MODIS snow cover mapping through machine learning.</t>
  </si>
  <si>
    <t>; Xiao, Pengfeng/A-8143-2016</t>
  </si>
  <si>
    <t>chen, siyong/0000-0002-0192-3865; Xiao, Pengfeng/0000-0003-2739-3302; Luan, Wenbo/0000-0002-0795-1269</t>
  </si>
  <si>
    <t>10.1109/TGRS.2022.3198508</t>
  </si>
  <si>
    <t>WOS:000849855100006</t>
  </si>
  <si>
    <t>Panda, S; Anilkumar, R; Balabantaray, BK; Chutia, D; Bharti, R</t>
  </si>
  <si>
    <t>Panda, Saptarshi; Anilkumar, Ritu; Balabantaray, Bunil Kumar; Chutia, Dibyajyoti; Bharti, Rishikesh</t>
  </si>
  <si>
    <t>Machine Learning-Driven Snow Cover Mapping Techniques using Google Earth Engine</t>
  </si>
  <si>
    <t>2022 IEEE 19TH INDIA COUNCIL INTERNATIONAL CONFERENCE, INDICON</t>
  </si>
  <si>
    <t>Annual IEEE India Conference</t>
  </si>
  <si>
    <t>19th IEEE-India-Council International Conference (INDICON)</t>
  </si>
  <si>
    <t>NOV 24-26, 2022</t>
  </si>
  <si>
    <t>Cochin Univ Sci &amp; Technol, Kochi, INDIA</t>
  </si>
  <si>
    <t>IEEE,IEEE India Council,IEEE Kerala Sect</t>
  </si>
  <si>
    <t>Cochin Univ Sci &amp; Technol</t>
  </si>
  <si>
    <t>Snow cover is a significant factor influencing the surface albedo. Thus an accurate snow cover mapping algorithm is of utmost importance in energy balance, land surface and climate models. Traditional methods utilizing satellite imagery to determine snow cover used snow indices such as Normalized Difference Snow Index, Normalized Difference Forest Snow Index and S3 index. Recent studies have demonstrated improved performance of snow mapping using machine learning-driven supervised classification techniques. Through this study, the authors present a set of algorithms developed using Google Earth Engine for spatial and temporal extension of machine learning-driven snow cover estimation. Further, the study evaluates the use of machine learning models viz. Classification and Regression Tree (CART), Support Vector Machine (SVM), Gradient Tree Boosting and Random Forest for the generation of snow cover maps using accuracy metrics such as overall accuracy, producer accuracy, consumer accuracy, and kappa coefficient. Gradient Tree Boosting consistently depicted the best spatial and temporal accuracies. All machine learning classifiers performed better than the conventional index-derived snow cover maps.</t>
  </si>
  <si>
    <t>; Anilkumar, Ritu/GXZ-7944-2022; Bharti, Rishikesh/S-5002-2019; Balabantaray, Bunil/M-9711-2013</t>
  </si>
  <si>
    <t>Saptarshi Panda, Saptarshi/0009-0006-2922-1685; Anilkumar, Ritu/0000-0003-2695-6409; Bharti, Rishikesh/0000-0002-6252-9909;</t>
  </si>
  <si>
    <t>2325-940X</t>
  </si>
  <si>
    <t>978-1-6654-7350-7</t>
  </si>
  <si>
    <t>10.1109/INDICON56171.2022.10040153</t>
  </si>
  <si>
    <t>WOS:000978286100395</t>
  </si>
  <si>
    <t>Wang, JB; Zhou, Y; He, T</t>
  </si>
  <si>
    <t>Wang, Jiabei; Zhou, Ying; He, Tao</t>
  </si>
  <si>
    <t>IMPROVING THE FRACTIONAL SNOW COVER ESTIMATION USING AN OPTIMIZED REGRESSION</t>
  </si>
  <si>
    <t>Snow cover plays a significant part in global surface radiation budget, hydrologic cycle and climate change. High computational efficiency and consistent accuracy is required to estimate fractional snow cover (FSC) using Landsat-8 OLI data, especially in variable terrain. This study proposes an optimized regression method to estimate FSC in various scenes. This method adaptively adjusts the function parameters according to the relationship of normalized difference snow index (NDSI) and universal ratio snow index (URSI), rather than changing fixed parameters. The main results show that our algorithm yields lower RMSE (13%similar to 19%) and higher correlation (0.70 similar to 0.90) than USGS FSC product. Evaluation in other regions obtains similar results, indicating that this method is feasible to estimate FSC in a larger region. Therefore, it is a potential approach to generate FSC product.</t>
  </si>
  <si>
    <t>He, Tao/JAZ-1387-2023</t>
  </si>
  <si>
    <t>10.1109/IGARSS46834.2022.9884679</t>
  </si>
  <si>
    <t>WOS:000920916604025</t>
  </si>
  <si>
    <t>Xiao, XX; He, T; Liang, SL; Zhao, TJ</t>
  </si>
  <si>
    <t>Xiao, Xiongxin; He, Tao; Liang, Shunlin; Zhao, Tianjie</t>
  </si>
  <si>
    <t>Improving Fractional Snow Cover Retrieval From Passive Microwave Data Using a Radiative Transfer Model and Machine Learning Method</t>
  </si>
  <si>
    <t>Optical sensors are subject to cloud obscuration and sunlight dependence, resulting in large proportions of missing snow cover information. Microwave sensors are a good alternative to snow cover monitoring in all weather conditions. Thus far, few studies in the literature have directly derived the fractional snow cover (FSC) from passive microwave data, and none have considered the relationship between FSC and brightness temperature (TB). This study first explores the FSC-TB relationship with a radiation transfer model, exhibiting that no generic function can properly describe the nonlinear and complex FSC-TB relationship. Therefore, a new algorithm based on machine learning method was designed to improve FSC retrieval from TB data, considering other auxiliary information, including soil property, land surface, and geography information. Benchmarked against the Moderate Resolution Imaging Spectroradiometer (MODIS) reference FSC, our FSC retrieval model performed well with an average correlation coefficient of 0.70, the mean absolute error ranging from 0.15 to 0.17, and the root-mean-square error ranging from 0.19 to 0.21. The generated FSC maps reasonably characterized the seasonal dynamics and spatial distribution patterns of snow cover; time series analysis with three AmeriFlux stations observation indicated effective capture of snowpack evolution process by the generated FSC. In addition, the verification of snow mapping capability using snow depth measurements from 13 521 stations indicates that it was relatively stable with overall accuracy greater than 0.88. For precise monitoring of snow cover extent in all weather conditions, particularly for subpixel snow cover areas, the development of the FSC estimation scheme with TB data should be extensively encouraged and implemented.</t>
  </si>
  <si>
    <t>Xiao, Xiongxin/T-5537-2018; liang, shunlin/C-2809-2015; He, Tao/JAZ-1387-2023</t>
  </si>
  <si>
    <t>Xiao, Xiongxin/0000-0001-5230-8160; liang, shunlin/0000-0003-2708-9183; He, Tao/0000-0003-2079-7988; 赵, 天杰/0000-0002-0914-599X</t>
  </si>
  <si>
    <t>10.1109/TGRS.2021.3128524</t>
  </si>
  <si>
    <t>WOS:000776203600024</t>
  </si>
  <si>
    <t>Merkouriadi, I; Lemmetyinen, J; Liston, GE; Pulliainen, J</t>
  </si>
  <si>
    <t>Merkouriadi, Ioanna; Lemmetyinen, Juha; Liston, Glen E.; Pulliainen, Jouni</t>
  </si>
  <si>
    <t>Solving Challenges of Assimilating Microwave Remote Sensing Signatures With a Physical Model to Estimate Snow Water Equivalent</t>
  </si>
  <si>
    <t>Global monitoring of seasonal snow water equivalent (SWE) has advanced significantly over the past decades. However, challenges remain when estimating SWE from passive and active microwave signatures, because a priori characterization of snow properties is required for SWE retrievals. Numerical experiments have shown that utilizing physical snow models to acquire snowpack characterization can potentially improve microwave-based SWE retrievals. This study aims to identify the challenges of assimilating active and passive microwave signatures with physical snow models, and to examine solutions to those challenges. Guided by observations from a point-based study, we designed a sensitivity experiment to quantify the effects of changes in the physically modeled SWE-and of corresponding changes to other snowpack properties-to the microwave-based SWE retrievals. The results indicate that assimilating microwave signatures with physical snow models face some critical challenges associated with the physical relationship between SWE and snow microstructure. We demonstrate these challenges can be overcome if the microwave algorithms account for these relationships.</t>
  </si>
  <si>
    <t>; Pulliainen, Jouni/Y-4810-2019; Lemmetyinen, Juha/B-3739-2016</t>
  </si>
  <si>
    <t>Merkouriadi, Ioanna/0000-0002-1878-3731; Pulliainen, Jouni/0000-0003-1157-2920; Lemmetyinen, Juha/0000-0003-4434-9696</t>
  </si>
  <si>
    <t>e2021WR030119</t>
  </si>
  <si>
    <t>10.1029/2021WR030119</t>
  </si>
  <si>
    <t>WOS:000723106900039</t>
  </si>
  <si>
    <t>Bair, EH; Stillinger, T; Dozier, J</t>
  </si>
  <si>
    <t>Bair, Edward H.; Stillinger, Timbo; Dozier, Jeff</t>
  </si>
  <si>
    <t>Snow Property Inversion From Remote Sensing (SPIReS): A Generalized Multispectral Unmixing Approach With Examples From MODIS and Landsat 8 OLI</t>
  </si>
  <si>
    <t>Spectral mixture analysis has a history in mapping snow, especially where mixed pixels prevail. Using multiple spectral bands rather than band ratios or band indices, retrievals of snow properties that affect its albedo lead to more accurate estimates than widely used age-based models of albedo evolution. Nevertheless, there is substantial room for improvement. We present the Snow Property Inversion from Remote Sensing (SPIReS) approach, offering the following improvements: 1) Solutions for grain size and concentrations of light absorbing particles are computed simultaneously; 2) Only snow and snow-free endmembers are employed; 3) Cloud-masking and smoothing are integrated; 4) Similar spectra are grouped together and interpolants are used to reduce computation time. The source codes are available in an open repository. Computation is fast enough that users can process imagery on demand. Validation of retrievals from Landsat 8 operational land imager (OLI) and moderate-resolution imaging spectroradiometer (MODIS) against WorldView-2/3 and the Airborne Snow Observatory shows accurate detection of snow and estimates of fractional snow cover. Validation of albedo shows low errors using terrain-corrected in situ measurements. We conclude by discussing the applicability of this approach to any airborne or spaceborne multispectral sensor and options to further improve retrievals.</t>
  </si>
  <si>
    <t>Dozier, Jeff/AAL-4783-2021</t>
  </si>
  <si>
    <t>Dozier, Jeff/0000-0001-8542-431X; Stillinger, Timbo/0000-0001-5250-4495</t>
  </si>
  <si>
    <t>10.1109/TGRS.2020.3040328</t>
  </si>
  <si>
    <t>WOS:000690968800015</t>
  </si>
  <si>
    <t>Rittger, K; Krock, M; Kleiber, W; Bair, EH; Brodzik, MJ; Stephenson, TR; Rajagopalan, B; Bormann, KJ; Painter, TH</t>
  </si>
  <si>
    <t>Rittger, Karl; Krock, Mitchell; Kleiber, William; Bair, Edward H.; Brodzik, Mary J.; Stephenson, Thomas R.; Rajagopalan, Balaji; Bormann, Kat J.; Painter, Thomas H.</t>
  </si>
  <si>
    <t>Multi-sensor fusion using random forests for daily fractional snow cover at 30 m</t>
  </si>
  <si>
    <t>In addition to providing water for nearly 2 billion people, snow drives resource selection by wildlife and influences the behavior and demography of many species. Because snow cover is highly spatially and temporally variable, mapping its extent using currently available satellite data remains a challenge. At present, there are no sensors acquiring daily data of Earth's entire surface at fine spatial resolutions (&lt; 30 m) in wavelengths required for snow cover retrieval, namely: visible, near-infrared, and shortwave infrared. Fine scale observations at 30 m from Landsat are available at 16-day intervals since 1982 and at 8-day intervals since 1999. However, over this duration, snow can accumulate, ablate, or both, making the Landsat data ineffective for many applications. Conversely, the Moderate Resolution Imaging Spectroradiometer (MODIS) atmospherically corrected daily reflectance data, have a coarse spatial resolution of 463 m and thus, are not ideal for snow cover mapping either. This spatial and temporal resolution tradeoff limits the use of these data for a wide range of snow cover applications and indicates a pressing need for data fusion. To address this need, we use a physically-based, spectralmixture-analysis approach for mapping fractional snow cover (fSCA) and a two-stage random forest algorithm to produce daily 30 m fSCA. We test our algorithm in the US Sierra Nevada and find MODIS fSCA is the most important predictor. We cross validate using 170 Landsat scenes and while snow cover varies immensely in time we find little variation in errors between seasons, a small bias of 0.01, and an overall accuracy of 0.97 with slightly higher precision than recall. This technique for accurate, daily, high-resolution snow cover retrievals could be applied more broadly for analyses of regional energy budget, validating snow cover in global and regional models, and for quantifying changes in the availability of biotic resources in ecosystems.</t>
  </si>
  <si>
    <t>Painter, Thomas/AAC-9493-2019; Rajagopalan, Balaji/A-5383-2013; /G-9861-2017; /E-3191-2016</t>
  </si>
  <si>
    <t>Rajagopalan, Balaji/0000-0002-6883-7240;</t>
  </si>
  <si>
    <t>10.1016/j.rse.2021.112608</t>
  </si>
  <si>
    <t>WOS:000688405400006</t>
  </si>
  <si>
    <t>Camplani, A; Casella, D; Sanò, P; Panegrossi, G</t>
  </si>
  <si>
    <t>Camplani, Andrea; Casella, Daniele; Sano, Paolo; Panegrossi, Giulia</t>
  </si>
  <si>
    <t>The Passive Microwave Empirical Cold Surface Classification Algorithm (PESCA): Application to GMI and ATMS</t>
  </si>
  <si>
    <t>This paper describes a new Passive Microwave Empirical Cold Surface Classification Algorithm (PESCA) developed for snow-cover detection and characterization by using passive microwave satellite measurements. The main goal of PESCA is to support the retrieval of falling snow, since several studies have highlighted the influence of snow-cover radiative properties on the falling-snow passive microwave signature. The developed method is based on the exploitation of the lower-frequency channels (&lt;90 GHz), common to most microwave radiometers. The method applied to the conically scanning Global Precipitation Measurement (GPM) Microwave Imager (GMI) and the cross-track-scanning Advanced Technology Microwave Sounder (ATMS) is described in this paper. PESCA is based on a decision tree developed using an empirical method and verified using the AutoSnow product built from satellite measurements. The algorithm performance appears to be robust both for sensors in dry conditions (total precipitable water &lt; 10 mm) and for mean surface elevation &lt; 2500 m, independent of the cloud cover. The algorithm shows very good performance for cold temperatures (2-m temperature below 270 K) with a rapid decrease of the detection capabilities between 270 and 280 K, where 280 K is assumed as the maximum temperature limit for PESCA (overall detection statistics: probability of detection is 0.98 for ATMS and 0.92 for GMI, false alarm ratio is 0.01 for ATMS and 0.08 for GMI, and Heidke skill score is 0.72 for ATMS and 0.69 for GMI). Some inconsistencies found between the snow categories identified with the two radiometers are related to their different viewing geometries, spatial resolution, and temporal sampling. The spectral signatures of the different snow classes also appear to be different at high frequency (&gt;90 GHz), indicating potential impact for snowfall retrieval. This method can be applied to other conically scanning and cross-track-scanning radiometers, including the future operational EUMETSAT Polar System Second Generation (EPS-SG) mission microwave radiometers.</t>
  </si>
  <si>
    <t>casella, daniele/AAX-7781-2020; Sanò, Paolo/C-7100-2015; Panegrossi, Giulia/C-5702-2015</t>
  </si>
  <si>
    <t>Panegrossi, Giulia/0000-0002-5170-7087</t>
  </si>
  <si>
    <t>10.1175/JHM-D-20-0260.1</t>
  </si>
  <si>
    <t>WOS:000677659800003</t>
  </si>
  <si>
    <t>Zheng, K; Li, JS; Ding, L; Yang, JF; Zhang, XC; Zhang, X</t>
  </si>
  <si>
    <t>Zheng, Kai; Li, Jiansheng; Ding, Lei; Yang, Jianfeng; Zhang, Xucheng; Zhang, Xun</t>
  </si>
  <si>
    <t>Cloud and Snow Segmentation in Satellite Images Using an Encoder-Decoder Deep Convolutional Neural Networks</t>
  </si>
  <si>
    <t>The segmentation of cloud and snow in satellite images is a key step for subsequent image analysis, interpretation, and other applications. In this paper, a cloud and snow segmentation method based on a deep convolutional neural network (DCNN) with enhanced encoder-decoder architecture-ED-CNN-is proposed. In this method, the atrous spatial pyramid pooling (ASPP) module is used to enhance the encoder, while the decoder is enhanced with the fusion of features from different stages of the encoder, which improves the segmentation accuracy. Comparative experiments show that the proposed method is superior to DeepLabV3+ with Xception and ResNet50. Additionally, a rough-labeled dataset containing 23,520 images and fine-labeled data consisting of 310 images from the TH-1 satellite are created, where we studied the relationship between the quality and quantity of labels and the performance of cloud and snow segmentation. Through experiments on the same network with different datasets, we found that the cloud and snow segmentation performance is related more closely to the quantity of labels rather than their quality. Namely, under the same labeling consumption, using rough-labeled images only performs better than rough-labeled images plus 10% fine-labeled images.</t>
  </si>
  <si>
    <t>Ding, Lei/IVV-0541-2023</t>
  </si>
  <si>
    <t>10.3390/ijgi10070462</t>
  </si>
  <si>
    <t>WOS:000676871500001</t>
  </si>
  <si>
    <t>Zhu, JY; Tan, SR; Tsang, L; Kang, DH; Kim, E</t>
  </si>
  <si>
    <t>Zhu, Jiyue; Tan, Shurun; Tsang, Leung; Kang, Do-Hyuk; Kim, Edward</t>
  </si>
  <si>
    <t>Snow Water Equivalent Retrieval Using Active and Passive Microwave Observations</t>
  </si>
  <si>
    <t>This paper implements a newly developed combined active and passive algorithm for the retrieval of snow water equivalent (SWE) by using three-channel active and two-channel passive observations. First, passive microwave observations at 19 and 37 GHz are used to determine the scattering albedo of snow. An a priori scattering albedo is obtained by averaging over time series observations. Second, 13.3 GHz is introduced to formulate a three-channel (9.6, 13.3, and 17.2 GHz) radar algorithm which reduces effects of background scattering from the snow-soil interface, and improves SWE retrieval. In the algorithm, the bicontinuous dense media radiative transfer (DMRT-Bic) is used to compute look-up tables (LUTs) of both radar backscatter and radiometer brightness temperatures (TBs) of the snowpack. To accelerate the retrieval, a parameterized model is derived from LUT by regression training, which links backscatter to the scattering albedo at 9.6 GHz or 13.3 GHz and to SWE. The volume scattering of snow is obtained by subtracting the background scattering from radar observations. SWE is then retrieved through a cost function that is guided by the a priori scattering albedo obtained from the passive microwave observations. The proposed algorithm, along with the active-only version, is evaluated against the Finnish Nordic Snow Radar Experiment (NoSREx) data set measured in 2009-2013. The combined active-passive algorithm achieves root mean square errors (RSME) less than 27 mm and correlation coefficients above 0.68 for 2009-2010, RMSE less than 21 mm and correlation above 0.85 for 2010-2011, and RMSE less than 40 mm and correlation above 0.38 for 2012-2013.</t>
  </si>
  <si>
    <t>e2020WR027563</t>
  </si>
  <si>
    <t>10.1029/2020WR027563</t>
  </si>
  <si>
    <t>WOS:000680092200035</t>
  </si>
  <si>
    <t>Ntokas, KFF; Odry, J; Boucher, MA; Garnaud, C</t>
  </si>
  <si>
    <t>Ntokas, Konstantin F. F.; Odry, Jean; Boucher, Marie-Amelie; Garnaud, Camille</t>
  </si>
  <si>
    <t>Investigating ANN architectures and training to estimate snow water equivalent from snow depth</t>
  </si>
  <si>
    <t>Canada's water cycle is driven mainly by snowmelt. Snow water equivalent (SWE) is the snow-related variable that is most commonly used in hydrology, as it expresses the total quantity of water (solid and liquid) stored in the snowpack. Measurements of SWE are, however, expensive and not continuously accessible in real time. This motivates a search for alternative ways of estimating SWE from measurements that are more widely available and continuous over time. SWE can be calculated by multiplying snow depth by the bulk density of the snowpack. Regression models proposed in the literature first estimate snow density and then calculate SWE. More recently, a novel approach to this problem has been developed and is based on an ensemble of multilayer perceptrons (MLPs). Although this approach compared favorably with existing regression models, snow density values at the lower and higher ends of the range remained inaccurate. Here, we improve upon this recent method for determining SWE from snow depth. We show the general applicability of the method through the use of a large data set of 234 779 snow depth-density-SWE records from 2878 nonuniformly distributed sites across Canada. These data cover almost 4 decades of snowfall. First, it is shown that the direct estimation of SWE produces better results than the estimation of snow density, followed by the calculation of SWE. Second, testing several artificial neural network (ANN) structural characteristics improves estimates of SWE. Optimizing MLP parameters separately for each snow climate class gives a greater representation of the geophysical diversity of snow. Furthermore, the uncertainty of snow depth measurements is included for a more realistic estimation. A comparison with commonly used regression models reveals that the ensemble of MLPs proposed here leads to noticeably more accurate estimates of SWE. This study thus shows that delving deeper into ANN theory helps improve SWE estimation.</t>
  </si>
  <si>
    <t>Odry, Jean/0000-0002-2029-278X; Garnaud, Camille/0000-0002-4226-5133; Boucher, Marie-Amélie/0000-0002-4246-2444</t>
  </si>
  <si>
    <t>JUN 4</t>
  </si>
  <si>
    <t>10.5194/hess-25-3017-2021</t>
  </si>
  <si>
    <t>WOS:000661090800001</t>
  </si>
  <si>
    <t>Saberi, N; Kelly, R; Pan, JM; Durand, M; Goh, J; Scott, KA</t>
  </si>
  <si>
    <t>Saberi, Nastaran; Kelly, Richard; Pan, Jinmei; Durand, Michael; Goh, Joslin; Scott, K. Andrea</t>
  </si>
  <si>
    <t>The Use of a Monte Carlo Markov Chain Method for Snow-Depth Retrievals: A Case Study Based on Airborne Microwave Observations and Emission Modeling Experiments of Tundra Snow</t>
  </si>
  <si>
    <t>Snow-depth retrieval from passive microwave observations without a priori information is a highly undetermined problem. Achieving accurate snow-depth retrievals requires a priori information on the snowpack properties, such as grain size, density, physical temperature, and stratigraphy. On a practical level, however, retrieval algorithms must consider prior information, while minimizing the dependence on it, as accurate ancillary data are not globally available. In this study, we build on the previously published Bayesian Algorithm for Snow Water Equivalent Estimation (BASE) to retrieve snow depth using an airborne passive microwave data set over the tundra snow in the Eureka region. The method computes the optimal estimates of snow depth, density, grain size, and other variables, given the brightness temperature observations and prior information, using Markov chain Monte Carlo (MCMC). The airborne data set includes passive microwave brightness temperature ( Tb) at 18.7 and 36.5 GHz. The in situ measurements of the snow depth provide validation data for 464 sensor footprints. The microwave radiative transfer (RT) model used is the Dense Media RT-Multilayered (DMRT-ML) model. We use a two-layer wind slab and depth hoar assumption based on the local snow cover knowledge from the previous research on the study area. To improve our understanding of the results using the airborne Tbs, the inversion was also applied using the synthetic observations, where Tbs were generated from the RT model. For the case with synthetic observations, the snow-depth RMSE was 0.07 cm. When the airborne Tbs are used, the snow-depth RMSE was 21.8 cm. This discrepancy is due to the large spatial variability in the MagnaProbe snow-depth measurements and the fact that not all physical processes affecting the airborne Tbs are represented in the RT model. Our work verifies the feasibility and applicability of the proposed methodology regionally for the airborne retrievals and reinforces the tractable applicability of a physics-based RT model in the SWE retrievals.</t>
  </si>
  <si>
    <t>; Durand, Michael/D-2885-2013</t>
  </si>
  <si>
    <t>Scott, Andrea/0000-0003-3922-8777; Saberi, Nastaran/0000-0003-2397-2040; Kelly, Richard/0000-0001-8076-7604; Durand, Michael/0000-0003-2682-6196</t>
  </si>
  <si>
    <t>10.1109/TGRS.2020.3004594</t>
  </si>
  <si>
    <t>WOS:000622319000006</t>
  </si>
  <si>
    <t>Xiao, XX; Liang, SL; He, T; Wu, DQ; Pei, CY; Gong, JY</t>
  </si>
  <si>
    <t>Xiao, Xiongxin; Liang, Shunlin; He, Tao; Wu, Daiqiang; Pei, Congyuan; Gong, Jianya</t>
  </si>
  <si>
    <t>Estimating fractional snow cover from passive microwave brightness temperature data using MODIS snow cover product over North America</t>
  </si>
  <si>
    <t>The dynamic characteristics of seasonal snow cover are critical for hydrology management, the climate system, and the ecosystem functions. Optical satellite remote sensing has proven to be an effective tool for monitoring global and regional variations in snow cover. However, accurately capturing the characteristics of snow dynamics at a finer spatiotemporal resolution continues to be problematic as observations from optical satellite sensors are greatly impacted by clouds and solar illumination. Traditional methods of mapping snow cover from passive microwave data only provide binary information at a spatial resolution of 25 km. This innovative study applies the random forest regression technique to enhanced-resolution passive microwave brightness temperature data (6.25 km) to estimate fractional snow cover over North America in winter months (January and February). Many influential factors, including land cover, topography, and location information, were incorporated into the retrieval models. Moderate Resolution Imaging Spectro-radiometer (MODIS) snow cover products between 2008 and 2017 were used to create the reference fractional snow cover data as the true observations in this study. Although over-estimating and underestimating around two extreme values of fractional snow cover, the proposed retrieval algorithm outperformed the other three approaches (linear regression, artificial neural networks, and multivariate adaptive regression splines) using independent test data for all land cover classes with higher accuracy and no out-of-range estimated values. The method enabled the evaluation of the estimated fractional snow cover using independent datasets, in which the root mean square error of evaluation results ranged from 0.189 to 0.221. The snow cover detection capability of the proposed algorithm was validated using meteorological station observations with more than 310 000 records. We found that binary snow cover obtained from the estimated fractional snow cover was in good agreement with ground measurements (kappa: 0.67). There was significant improvement in the accuracy of snow cover identification using our algorithm; the overall accuracy increased by 18% (from 0.71 to 0.84), and the omission error was reduced by 71% (from 0.48 to 0.14) when the threshold of fractional snow cover was 0.3. The experimental results show that passive microwave brightness temperature data may potentially be used to estimate fractional snow cover directly in that this retrieval strategy offers a competitive advantage in snow cover detection.</t>
  </si>
  <si>
    <t>Xiao, Xiongxin/0000-0001-5230-8160; liang, shunlin/0000-0003-2708-9183; He, Tao/0000-0003-2079-7988</t>
  </si>
  <si>
    <t>10.5194/tc-15-835-2021</t>
  </si>
  <si>
    <t>WOS:000621382900001</t>
  </si>
  <si>
    <t>Alonso, R; del Pozo, JMG; Buisán, ST; Alvarez, JA</t>
  </si>
  <si>
    <t>Alonso, Rafael; del Pozo, Jose Maria Garcia; Buisan, Samuel T.; Alvarez, Jose Adolfo</t>
  </si>
  <si>
    <t>Analysis of the Snow Water Equivalent at the AEMet-Formigal Field Laboratory (Spanish Pyrenees) During the 2019/2020 Winter Season Using a Stepped-Frequency Continuous Wave Radar (SFCW)</t>
  </si>
  <si>
    <t>Snow makes a great contribution to the hydrological cycle in cold regions. The parameter to characterize available the water from the snow cover is the well-known snow water equivalent (SWE). This paper presents a near-surface-based radar for determining the SWE from the measured complex spectral reflectance of the snowpack. The method is based in a stepped-frequency continuous wave radar (SFCW), implemented in a coherent software defined radio (SDR), in the range from 150 MHz to 6 GHz. An electromagnetic model to solve the electromagnetic reflectance of a snowpack, including the frequency and wetness dependence of the complex relative dielectric permittivity of snow layers, is shown. Using the previous model, an approximated method to calculate the SWE is proposed. The results are presented and compared with those provided by a cosmic-ray neutron SWE gauge over the 2019-2020 winter in the experimental AEMet Formigal-Sarrios test site. This experimental field is located in the Spanish Pyrenees at an elevation of 1800 m a.s.l. The results suggest the viability of the approximate method. Finally, the feasibility of an auxiliary snow height measurement sensor based on a 120 GHz frequency modulated continuous wave (FMCW) radar sensor, is shown.</t>
  </si>
  <si>
    <t>Alonso Esteban, Rafael/AAC-6053-2020</t>
  </si>
  <si>
    <t>Alonso Esteban, Rafael/0000-0003-0775-4641; GARCÍA DEL POZO FALDOS, JOSÉ MARÍA/0000-0001-6531-5810; Buisan, Samuel/0000-0002-9551-9918</t>
  </si>
  <si>
    <t>10.3390/rs13040616</t>
  </si>
  <si>
    <t>WOS:000624428800001</t>
  </si>
  <si>
    <t>Dumont, ZB; Gascoin, S</t>
  </si>
  <si>
    <t>Dumont, Zacharie Barrou; Gascoin, Simon</t>
  </si>
  <si>
    <t>EVALUATION OF A HIGH-RESOLUTION OPERATIONAL SNOW COVER AREA CLASSIFICATION ALGORITHM</t>
  </si>
  <si>
    <t>The Let-It-Snow (LIS) algorithm generates 20m resolution maps of the snow cover area (SCA) including snow, no-snow and cloud pixels from Sentinel-2 level-2A images for the Copernicus Snow &amp; Ice Monitoring Service. The pixel classification relies on two Normalized Difference Snow Index (NDSI) threshold parameters and two red band reflectance threshold parameters. In this study we used the Active Learning for Cloud Detection (ALCD) software to generate via supervised classification reference products from 10 Sentinel-2 images representing the snow and weather conditions over one year of the T31TCH tile (Pyrenees). Those reference products were used to evaluate both the algorithm's snow-cloud discrimination performances and the sensitivity of its threshold parameters. While it shows good performances in snow-land differentiation, the algorithm classifies transparent clouds pixels as cloud when a human eye could see the snow underneath. We tried 24167 values combinations of the threshold parameters and compared the resulting products with the reference products. The results indicate that the default parameters already give near-optimal performances and that they could be modified for a slight increase in snow detection.</t>
  </si>
  <si>
    <t>Gascoin, Simon/J-7848-2012</t>
  </si>
  <si>
    <t>10.1109/IGARSS47720.2021.9554366</t>
  </si>
  <si>
    <t>WOS:001250139805165</t>
  </si>
  <si>
    <t>Luo, CZ; Tan, SR; Kang, DH</t>
  </si>
  <si>
    <t>Luo, Chunzeng; Tan, Shurun; Kang, Do-Hyuk</t>
  </si>
  <si>
    <t>A SNOW WATER EQUIVALENT RETRIEVAL FRAMEWORK COUPLING MICROWAVE REMOTE SENSING AND HYDROLOGY MODEL</t>
  </si>
  <si>
    <t>Retrieving snow water equivalent (SWE) from X-, Ku-, and Ka-band microwave observations suffers from low sensitivity and non-uniqueness due to a lack of understanding of snow microphysics and complex terrain covered by snowpack. This paper demonstrates a general framework to combine the power of hydrology modeling and microwave remote sensing. A column-based multi-layer snow hydrology model which includes the grain size evolution is coupled with the dense media radiative transfer (DMRT-QMS). The snow variables are then updated by an ensemble Kalman Filter (EnKF) algorithm to incorporate information from microwave observations. The proposed approach has the potential to improve the accuracy of SWE remote sensing taking advantage of multi-source data fusion in a data assimilation framework. An SWE retrieval (per 4 hours) RMSE of 25.81mm is achieved, which meets the international standard such as NASA SCLP and ESA CoReH2O and is 62.25% lower than that of open-loop hydrology model prediction. This paper also makes a sensitivity analysis of the microwave observation interval to the retrieval results, offering insights into the choice of temporal resolution in microwave remote sensing.</t>
  </si>
  <si>
    <t>10.1109/IGARSS47720.2021.9553317</t>
  </si>
  <si>
    <t>WOS:001250139807092</t>
  </si>
  <si>
    <t>Premier, V; Marin, C; Steger, S; Notarnicola, C; Bruzzone, L</t>
  </si>
  <si>
    <t>Premier, Valentina; Marin, Carlo; Steger, Stefan; Notarnicola, Claudia; Bruzzone, Lorenzo</t>
  </si>
  <si>
    <t>A Novel Approach Based on a Hierarchical Multiresolution Analysis of Optical Time Series to Reconstruct the Daily High-Resolution Snow Cover Area</t>
  </si>
  <si>
    <t>High-resolution (HR) snow cover maps derived by remotely sensed images are an asset for data assimilation in hydrological models. However, the current satellite missions do not provide daily HR multispectral observations suitable for an accurate snow monitoring in alpine environments. On the contrary, low-resolution (LR) sensors acquire daily information of snow cover fraction (SCF) but at an inappropriate spatial scale. This article proposes a novel approach that combines multisource and multiscale acquisitions to infer the daily HR snow cover area (SCA) for mountainous basins. The approach builds on the assumption that interannual snow patterns are both affected by the local geomorphometry and meteorology. We derive these patterns through a hierarchical multistep approach based on historical statistical analyses on a long and sparse HR time-series. At each step, we obtain HR snow cover maps with higher number of reconstructed pixels but decreasing level of confidence. Historical data are used to estimate the probability that a HR pixel is covered by snow according to two possible multiscale strategies: 1) HR gap-filling, or 2) LR downscaling. These analyses lead to the identification of the patterns that regularly appear given certain conditions. When no systematic patterns are observed, we reinforce the inference of the pixel class by a generalized additive model that exploits not only the historical data, but also explicit geomorphometric, global snow, and multitemporal properties. The proposed approach has been validated on a catchment in the Sierra Nevada, USA, for three hydrological years (2017-2019) showing an average overall accuracy of 92%.</t>
  </si>
  <si>
    <t>; Bruzzone, Lorenzo/JPL-7703-2023</t>
  </si>
  <si>
    <t>Notarnicola, Claudia/0000-0003-1968-0125; Premier, Valentina/0000-0002-4629-2235; Steger, Stefan/0000-0003-0886-5191; marin, carlo/0000-0001-6987-9445;</t>
  </si>
  <si>
    <t>10.1109/JSTARS.2021.3103585</t>
  </si>
  <si>
    <t>WOS:000698859700002</t>
  </si>
  <si>
    <t>Raiyani, K; Gonçalves, T; Rato, L; Salgueiro, P; da Silva, JRM</t>
  </si>
  <si>
    <t>Raiyani, Kashyap; Goncalves, Teresa; Rato, Luis; Salgueiro, Pedro; Marques da Silva, Jose R.</t>
  </si>
  <si>
    <t>Sentinel-2 Image Scene Classification: A Comparison between Sen2Cor and a Machine Learning Approach</t>
  </si>
  <si>
    <t>Given the continuous increase in the global population, the food manufacturers are advocated to either intensify the use of cropland or expand the farmland, making land cover and land usage dynamics mapping vital in the area of remote sensing. In this regard, identifying and classifying a high-resolution satellite imagery scene is a prime challenge. Several approaches have been proposed either by using static rule-based thresholds (with limitation of diversity) or neural network (with data-dependent limitations). This paper adopts the inductive approach to learning from surface reflectances. A manually labeled Sentinel-2 dataset was used to build a Machine Learning (ML) model for scene classification, distinguishing six classes (Water, Shadow, Cirrus, Cloud, Snow, and Other). This models was accessed and further compared to the European Space Agency (ESA) Sen2Cor package. The proposed ML model presents a Micro-F1 value of 0.84, a considerable improvement when compared to the Sen2Cor corresponding performance of 0.59. Focusing on the problem of optical satellite image scene classification, the main research contributions of this paper are: (a) an extended manually labeled Sentinel-2 database adding surface reflectance values to an existing dataset; (b) an ensemble-based and a Neural-Network-based ML models; (c) an evaluation of model sensitivity, biasness, and diverse ability in classifying multiple classes over different geographic Sentinel-2 imagery, and finally, (d) the benchmarking of the ML approach against the Sen2Cor package.</t>
  </si>
  <si>
    <t>Gonçalves, Teresa/B-4308-2013; Salgueiro, Pedro/AAC-2142-2022; Rato, Luís/A-9152-2013</t>
  </si>
  <si>
    <t>Gonçalves, Teresa/0000-0002-1323-0249; Salgueiro, Pedro/0000-0001-7614-2951; Raiyani, Kashyap/0000-0002-6166-2038; Marques da Silva, José Rafael/0000-0003-0305-8147; Rato, Luís/0000-0003-4492-7548</t>
  </si>
  <si>
    <t>10.3390/rs13020300</t>
  </si>
  <si>
    <t>WOS:000611558200001</t>
  </si>
  <si>
    <t>Scott, KA; Tamber, M</t>
  </si>
  <si>
    <t>Scott, K. Andrea; Tamber, Manveer</t>
  </si>
  <si>
    <t>Experiments with estimation of sea ice concentration using a convolutional neural network and microwave data</t>
  </si>
  <si>
    <t>2021 IEEE 19TH INTERNATIONAL SYMPOSIUM ON ANTENNA TECHNOLOGY AND APPLIED ELECTROMAGNETICS (ANTEM)</t>
  </si>
  <si>
    <t>International Symposium on Antenna Technology and Applied Electromagnetics</t>
  </si>
  <si>
    <t>19th IEEE International Symposium on Antenna Technology and Applied Electromagnetics (ANTEM)</t>
  </si>
  <si>
    <t>AUG 08-11, 2021</t>
  </si>
  <si>
    <t>Using an existing convolutional neural network (CNN) framework that uses both synthetic aperture radar (SAR) data and passive microwave data to learn sea ice concentration (SIC), we test the inclusion of different passive microwave channels and also perturbing the labels used in the loss function. Improved results are found if the low frequency channels from the passive microwave data are included. We also find perturbing the labels may be a reasonable approach to improved SIC estimation in marginal ice zones.</t>
  </si>
  <si>
    <t>2380-8616</t>
  </si>
  <si>
    <t>978-1-6654-0335-1</t>
  </si>
  <si>
    <t>10.1109/ANTEM51107.2021.9518875</t>
  </si>
  <si>
    <t>WOS:000698722600071</t>
  </si>
  <si>
    <t>Hou, JL; Huang, CL; Zhang, Y; Guo, JF</t>
  </si>
  <si>
    <t>Hou, Jinliang; Huang, Chunlin; Zhang, Ying; Guo, Jifu</t>
  </si>
  <si>
    <t>On the Value of Available MODIS and Landsat8 OLI Image Pairs for MODIS Fractional Snow Cover Mapping Based on an Artificial Neural Network</t>
  </si>
  <si>
    <t>This article investigates how to select the optimal Moderate-Resolution Imaging Spectroradiometer (MODIS) and Landsat 8 OLI image pairs for MODIS fractional snow cover (FSC) mapping using an artificial neural network (ANN). Four issues are discussed, including date selection, location selection, priority of date and location, and global and regional monitoring of MODIS FSC with ANNs. We propose using the histogram quadratic distance to define the similarity between the ANN training and the target test scene, which was used to quantify the representativeness of the training samples. We use the case study of MODIS FSC mapping of North Xinjiang, China, in the 2014-2015 snow season as an example. Thirty-eight experiments were designed. The experimental results demonstrate that the ANN-based FSC estimation accuracy outperformed the MODIS FSC product, with an average RMSE of 0.17, R exceeds 0.8, and the total snow cover area was estimated more accurately in most cases. For a target test scene, we preliminarily inferred that the best method is to develop an ANN using image pairs of another location with the highest similarity in the same acquisition time, using historical image pairs of the target scene with the highest similarity is the second choice, and using historical image pairs from another location with a high similarity is the third choice. For global- and regional-scale MODIS FSC mapping with ANNs, we formulated the strategy of initially determining a reasonable location and subsequently selecting the acquisition date of the image pairs to guarantee that the training data set represents the entire study area well.</t>
  </si>
  <si>
    <t>Zhang, Ying/0000-0002-1654-4112; Hou, Jinliang/0000-0001-8127-7092</t>
  </si>
  <si>
    <t>10.1109/TGRS.2019.2963075</t>
  </si>
  <si>
    <t>WOS:000538748700042</t>
  </si>
  <si>
    <t>Liu, CY; Huang, XD; Li, XB; Liang, TG</t>
  </si>
  <si>
    <t>Liu, Changyu; Huang, Xiaodong; Li, Xubing; Liang, Tiangang</t>
  </si>
  <si>
    <t>MODIS Fractional Snow Cover Mapping Using Machine Learning Technology in a Mountainous Area</t>
  </si>
  <si>
    <t>To improve the poor accuracy of the MODIS (Moderate Resolution Imaging Spectroradiometer) daily fractional snow cover product over the complex terrain of the Tibetan Plateau (RMSE = 0.30), unmanned aerial vehicle and machine learning technologies are employed to map the fractional snow cover based on MODIS over this terrain. Three machine learning models, including random forest, support vector machine, and back-propagation artificial neural network models, are trained and compared in this study. The results indicate that compared with the MODIS daily fractional snow cover product, the introduction of a highly accurate snow map acquired by unmanned aerial vehicles as a reference into machine learning models can significantly improve the MODIS fractional snow cover mapping accuracy. The random forest model shows the best accuracy among the three machine learning models, with an RMSE (root-mean-square error) of 0.23, especially over forestland and shrubland, with RMSEs of 0.13 and 0.18, respectively. Although the accuracy of the support vector machine and back-propagation artificial neural network models are worse over forestland and shrubland, their average errors are still better than that of MOD10A1. Different fractional snow cover gradients also affect the accuracy of the machine learning algorithms. Nevertheless, the random forest model remains stable in different fractional snow cover gradients and is, therefore, the best machine learning algorithm for MODIS fractional snow cover mapping in Tibetan Plateau areas with complex terrain and severely fragmented snow cover.</t>
  </si>
  <si>
    <t>Li, Xu-Bing/L-7084-2019; Huang, Xiaodong/GXN-4031-2022</t>
  </si>
  <si>
    <t>Huang, Xiaodong/0000-0002-6530-1475</t>
  </si>
  <si>
    <t>10.3390/rs12060962</t>
  </si>
  <si>
    <t>WOS:000526820600064</t>
  </si>
  <si>
    <t>Rostosky, P; Spreen, G; Gerland, S; Huntemann, M; Mech, M</t>
  </si>
  <si>
    <t>Rostosky, P.; Spreen, G.; Gerland, S.; Huntemann, M.; Mech, M.</t>
  </si>
  <si>
    <t>Modeling the Microwave Emission of Snow on Arctic Sea Ice for Estimating the Uncertainty of Satellite Retrievals</t>
  </si>
  <si>
    <t>JOURNAL OF GEOPHYSICAL RESEARCH-OCEANS</t>
  </si>
  <si>
    <t>Within a rapidly changing Arctic climate system, snow on sea ice is an important climate parameter. A common method to derive snow depth on an Arctic-wide scale is based on passive microwave satellite observations. However, the uncertainties of this method are not well constrained. In this study, we estimate the influence of geophysical parameters, including ice, snow, and atmospheric properties on passive microwave snow depth retrievals using a Monte Carlo uncertainty estimation. The results are based on model simulations from the Microwave Emission Model for Layered Snowpacks, the SNOWPACK model, and from the Passive and Active Microwave TRAnsfer model. All simulations are based on in situ observations obtained during the N-ICE2015 campaign. The average uncertainty in potential snow depth retrievals is between 11% and 19%, depending on the microwave frequencies used and increases with increasing snow depth. For lower-frequency retrievals (including 6.9 GHz), unknown snow properties are the strongest source of uncertainty while for higher-frequency retrievals (including 36.5 GHz), the contribution of ice, snow properties, and clouds is equally strong. Key Points The uncertainty of snow depth retrievals from satellite microwave radiometers is estimated using field measurements and model simulations Snow properties have the strongest contribution to the uncertainty of snow depth retrievals compared to the influence of atmosphere and ice The snow depth retrieval based on 19 and 7 GHz has a lower uncertainty compared to the 37 and 19 GHz one</t>
  </si>
  <si>
    <t>; Mech, Mario/ABF-1218-2020; Spreen, Gunnar/A-4533-2010</t>
  </si>
  <si>
    <t>Gerland, Sebastian/0000-0002-2295-9867; Mech, Mario/0000-0001-6229-9616; Spreen, Gunnar/0000-0003-0165-8448</t>
  </si>
  <si>
    <t>2169-9275</t>
  </si>
  <si>
    <t>2169-9291</t>
  </si>
  <si>
    <t>e2019JC015465</t>
  </si>
  <si>
    <t>10.1029/2019JC015465</t>
  </si>
  <si>
    <t>WOS:000534229400023</t>
  </si>
  <si>
    <t>Shaw, TE; Gascoin, S; Mendoza, PA; Pellicciotti, F; McPhee, J</t>
  </si>
  <si>
    <t>Shaw, Thomas E.; Gascoin, Simon; Mendoza, Pablo A.; Pellicciotti, Francesca; McPhee, James</t>
  </si>
  <si>
    <t>Snow Depth Patterns in a High Mountain Andean Catchment from Satellite Optical Tristereoscopic Remote Sensing</t>
  </si>
  <si>
    <t>Obtaining detailed information about high mountain snowpacks is often limited by insufficient ground-based observations and uncertainty in the (re)distribution of solid precipitation. We utilize high-resolution optical images from Pleiades satellites to generate a snow depth map, at a spatial resolution of 4 m, for a high mountain catchment of central Chile. Results are negatively biased (median difference of -0.22 m) when compared against observations from a terrestrial Light Detection And Ranging scan, though replicate general snow depth variability well. Additionally, the Pleiades dataset is subject to data gaps (17% of total pixels), negative values for shallow snow (12%), and noise on slopes &gt;40-50 degrees (2%). We correct and filter the Pleiades snow depths using surface classification techniques of snow-free areas and a random forest model for data gap filling. Snow depths (with an estimated error of similar to 0.36 m) average 1.66 m and relate well to topographical parameters such as elevation and northness in a similar way to previous studies. However, estimations of snow depth based upon topography (TOPO) or physically based modeling (DBSM) cannot resolve localized processes (i.e., avalanching or wind scouring) that are detected by Pleiades, even when forced with locally calibrated data. Comparing these alternative model approaches to corrected Pleiades snow depths reveals total snow volume differences between -28% (DBSM) and +54% (TOPO) for the catchment and large differences across most elevation bands. Pleiades represents an important contribution to understanding snow accumulation at sparsely monitored catchments, though ideally requires a careful systematic validation procedure to identify catchment-scale biases and errors in the snow depth derivation.</t>
  </si>
  <si>
    <t>Gascoin, Simon/J-7848-2012; McPhee, James/ABC-6218-2020; Mendoza, Pablo/AAT-2649-2021</t>
  </si>
  <si>
    <t>Gascoin, Simon/0000-0002-4996-6768; McPhee, James/0000-0002-7547-0926; Mendoza, Pablo/0000-0002-0263-9698; Shaw, Thomas/0000-0001-7640-6152</t>
  </si>
  <si>
    <t>e2019WR024880</t>
  </si>
  <si>
    <t>10.1029/2019WR024880</t>
  </si>
  <si>
    <t>WOS:000535672800009</t>
  </si>
  <si>
    <t>Wang, JS; Huang, XD; Wang, YL; Liang, TG</t>
  </si>
  <si>
    <t>Wang, Jianshun; Huang, Xiaodong; Wang, Yunlong; Liang, Tiangang</t>
  </si>
  <si>
    <t>Retrieving Snow Depth Information From AMSR2 Data for Qinghai-Tibet Plateau</t>
  </si>
  <si>
    <t>Passive microwave data have been extensively used for snow depth (SD) inversion, but their accuracy has large error in the Qinghai-Tibet Plateau (QTP). Thus, there is still room for improvement in regional SD inversion. Ground-measured SD data combined with elevation, longitude, and land cover data were used to develop a multifactor SD inversion model based on Advanced Microwave Scanning Radiometer 2 (AMSR2) over the QTP. The SD inversion model and the AMSR2 SD product were validated and compared using the meteorological stations and ground-measured SD over the QTP at the same time. The results show that the root-mean-square error (RMSE) of the novel model developed in this study is approximately 5 cm, which is much better than the accuracy of the AMSR2 SD product (11-13 cm) released by the Japan Aerospace Exploration Agency. When the ground-measured SD is less than 30 cm, the RMSE and the mean absolute error of the developed model are below 7 and 6 cm, respectively, and the BIAS is approximately 1 cm. The SD inversion results are poor in the western part of the plateau due to the complex terrain and thick snow cover, and its RMSE is greater than 15 cm. In conclusion, this novel SD inversion model is more applicable and accurate than the AMSR2 SD products.</t>
  </si>
  <si>
    <t>Wang, Yunlong/JXX-7909-2024; Huang, Xiaodong/GXN-4031-2022</t>
  </si>
  <si>
    <t>Huang, Xiaodong/0000-0002-6530-1475; Wang, Jianshun/0000-0002-7347-7737</t>
  </si>
  <si>
    <t>10.1109/JSTARS.2020.2970738</t>
  </si>
  <si>
    <t>WOS:000526773100009</t>
  </si>
  <si>
    <t>Braakmann-Folgmann, A; Donlon, C</t>
  </si>
  <si>
    <t>Braakmann-Folgmann, Anne; Donlon, Craig</t>
  </si>
  <si>
    <t>Estimating snow depth on Arctic sea ice using satellite microwave radiometry and a neural network</t>
  </si>
  <si>
    <t>Snow lying on top of sea ice plays an important role in the radiation budget because of its high albedo and the Arctic freshwater budget, and it influences the Arctic climate: it is a fundamental climate variable. Importantly, accurate snow depth products are required to convert satellite altimeter measurements of ice freeboard to sea ice thickness (SIT). Due to the harsh environment and challenging accessibility, in situ measurements of snow depth are sparse. The quasi-synoptic frequent repeat coverage provided by satellite measurements offers the best approach to regularly monitor snow depth on sea ice. A number of algorithms are based on satellite microwave radiometry measurements and simple empirical relationships. Reducing their uncertainty remains a major challenge. A High Priority Candidate Mission called the Copernicus Imaging Microwave Radiometer (CIMR) is now being studied at the European Space Agency. CIMR proposes a conically scanning radiometer having a swath &gt; 1900 km and including channels at 1.4, 6.9, 10.65, 18.7 and 36.5 GHz on the same platform. It will fly in a high-inclination dawn-dusk orbit coordinated with the MetOp-SG(B). As part of the preparation for the CIMR mission, we explore a new approach to retrieve snow depth on sea ice from multi-frequency satellite microwave radiometer measurements using a neural network approach. Neural networks have proven to reach high accuracies in other domains and excel in handling complex, non-linear relationships. We propose one neural network that only relies on AMSR2 channel brightness temperature data input and another one using both AMSR2 and SMOS data as input. We evaluate our results from the neural network approach using airborne snow depth measurements from Operation IceBridge (OIB) campaigns and compare them to products from three other established snow depth algorithms. We show that both our neural networks outperform the other algorithms in terms of accuracy, when compared to the OIB data and we demonstrate that plausible results are obtained even outside the algorithm training period and area. We then convert CryoSat freeboard measurements to SIT using different snow products including the snow depth from our networks. We confirm that a more accurate snow depth product derived using our neural networks leads to more accurate estimates of SIT, when compared to the SIT measured by a laser altimeter at the OIB campaign. Our network with additional SMOS input yields even higher accuracies, but has the disadvantage of a larger hole at the pole. Our neural network approaches are applicable over the whole Arctic, capturing first-year ice and multi-year ice conditions throughout winter. Once the networks are designed and trained, they are fast and easy to use. The combined AMSR2 + SMOS neural network is particularly important as a precursor demonstration for the Copernicus CIMR candidate mission highlighting the benefit of CIMR.</t>
  </si>
  <si>
    <t>Braakmann-Folgmann, Anne/MEP-4706-2025</t>
  </si>
  <si>
    <t>SEP 17</t>
  </si>
  <si>
    <t>10.5194/tc-13-2421-2019</t>
  </si>
  <si>
    <t>WOS:000487710700002</t>
  </si>
  <si>
    <t>Saberi, N; Kelly, R; Flemming, M; Li, QH</t>
  </si>
  <si>
    <t>Saberi, Nastaran; Kelly, Richard; Flemming, Margot; Li, Qinghuan</t>
  </si>
  <si>
    <t>Review of snow water equivalent retrieval methods using spaceborne passive microwave radiometry</t>
  </si>
  <si>
    <t>INTERNATIONAL JOURNAL OF REMOTE SENSING</t>
  </si>
  <si>
    <t>The physical properties of a snowpack strongly influence the emissions from the substratum, making snow property retrievals feasible by means of the surface brightness temperature observed by passive microwave sensors. Depending on the spatial resolution observed, time series records of daily snow coverage and critical snowpack properties such as snow depth (SD) and snow water equivalent (SWE) could be helpful in applications ranging from modelling snow variations for water resources management in a catchment to global climatologic studies. However, the challenge of including spaceborne SWE products in operational hydrological and hydroclimate modelling applications is very demanding with limited uptake by these systems, mostly attributed to insufficient SWE estimation accuracy. The root causes of this challenge include the coarse spatial resolution of passive microwave (PM) observations that observe highly aggregated snowpack properties at the spaceborne scale, and inadequacies during the retrieval process caused by uncertainties with the forward emission modelling of snow and challenges to find robust parameterizations of the models. While the spatial resolution problem is largely in the realm of engineering design and constrained by physical restrictions, a better understanding of developed and adopted retrieval methodologies can provide the clarity needed to enhance our knowledge in this field. In this paper, we review snow depth and SWE retrieval methods using PM observations, taking only dry snow retrieval processes into consideration. Snow properties using PM observations can be modelled by purely empirical relations based on underlying physical processes, and SD and SWE can be estimated by regression-based approaches. Snow property retrievals have been refined gradually throughout four decades use of PM observations in tandem with better understanding of physical processes, inclusion of better snowpack parameterizations, improved uncertainty analysis frameworks, and applying better inversion algorithms. Studying available methods, we conclude that snowpack parameterization is key to accurate retrieval. By improving retrieval algorithm architectures to better capture dynamic snowpack evolution processes, SWE estimates are likely to improve. We conclude that this challenge can be addressed by coupling emission models and land surface models or integrating weather-driven snowpack evolution into emission models and performing inversion in a Bayesian framework.</t>
  </si>
  <si>
    <t>0143-1161</t>
  </si>
  <si>
    <t>1366-5901</t>
  </si>
  <si>
    <t>FEB 1</t>
  </si>
  <si>
    <t>10.1080/01431161.2019.1654144</t>
  </si>
  <si>
    <t>SEP 2019</t>
  </si>
  <si>
    <t>WOS:000485461600001</t>
  </si>
  <si>
    <t>De Gregorio, L; Callegari, M; Marin, C; Zebisch, M; Bruzzone, L; Demir, B; Strasser, U; Marke, T; Günther, D; Nadalet, R; Notarnicola, C</t>
  </si>
  <si>
    <t>De Gregorio, Ludovica; Callegari, Mattia; Marin, Carlo; Zebisch, Marc; Bruzzone, Lorenzo; Demir, Begum; Strasser, Ulrich; Marke, Thomas; Guenther, Daniel; Nadalet, Rudi; Notarnicola, Claudia</t>
  </si>
  <si>
    <t>A Novel Data Fusion Technique for Snow Cover Retrieval</t>
  </si>
  <si>
    <t>This paper presents a novel data fusion technique for improving the snow cover monitoring for a mesoscale Alpine region, in particular in those areas where two information sources disagree. The presented methodological innovation consists in the integration of remote-sensing data products and the numerical simulation results by means of a machine learning classifier (support vector machine), capable to extract information from their quality measures. This differs from the existing approaches where remote sensing is only used for model tuning or data assimilation. The technique has been tested to generate a time series of about 1300 snow maps for the period between October 2012 and July 2016. The results show an average agreement between the fused product and the reference ground data of 96%, compared to 90% of the moderate-resolution imaging spectroradiometer (MODIS) data product and 92% of the numerical model simulation. Moreover, one of the most important results is observed from the analysis of snow cover area (SCA) time series, where the fused product seems to overcome the well-known underestimation of snow in forest of the MODIS product, by accurately reproducing the SCA peaks of winter season.</t>
  </si>
  <si>
    <t>; Zebisch, Marc/IZP-9454-2023; Bruzzone, Lorenzo/JPL-7703-2023</t>
  </si>
  <si>
    <t>Strasser, Ulrich/0000-0003-4776-2822; Demir, Begüm/0000-0003-2175-7072; Günther, Daniel/0000-0001-8268-6998; Notarnicola, Claudia/0000-0003-1968-0125; Zebisch, Marc/0000-0002-3530-7219; Callegari, Mattia/0000-0003-1520-1975; marin, carlo/0000-0001-6987-9445</t>
  </si>
  <si>
    <t>SI</t>
  </si>
  <si>
    <t>10.1109/JSTARS.2019.2920676</t>
  </si>
  <si>
    <t>WOS:000487530100024</t>
  </si>
  <si>
    <t>Haq, MA; Ghosh, A; Rahaman, G; Baral, P</t>
  </si>
  <si>
    <t>Haq, Mohd Anul; Ghosh, Abhijit; Rahaman, Gazi; Baral, Prashant</t>
  </si>
  <si>
    <t>Artificial neural network-based modeling of snow properties using field data and hyperspectral imagery</t>
  </si>
  <si>
    <t>NATURAL RESOURCE MODELING</t>
  </si>
  <si>
    <t>This study attempts to model snow wetness and snow density of Himalayan snow cover using a combination of Hyperspectral image processing and Artificial Neural Network (ANN). Initially, a total of 300 spectral signature measurements, synchronized with snow wetness and snow density, were collected in the field. The spectral reflectance of snow was then modeled as a function of snow properties using ANN. Four snow wetness and three snow density models were developed. A strong correlation was observed in near-infrared and shortwave-infrared region. The correlation analysis of ANN modeled snow density and snow wetness showed a strong linear relationship with field-based data values ranging from 0.87-0.90 and 0.88-0.91, respectively. Our results indicate that an Artificial Intelligence (AI) approach, using a combination of Hyperspectral image processing and ANN, can be efficiently used to predict snow properties (wetness and density) in the Himalayan region. Recommendations for resource managers Snow properties, such as snow wetness and snow density are mainly investigated through field-based survey but rugged terrains, difficult weather conditions, and logistics management issues establish remote sensing as an efficient alternative to monitor snow properties, especially in the mountain environment. Although Hyperspectral remote sensing is a powerful tool to conduct the quantitative analysis of the physical properties of snow, only a few studies have used hyperspectral data for the estimation of snow density and wetness in the Himalayan region. This could be because of the lack of synchronized snow properties data with field-based spectral acquisitions. In combination with Hyperspectral image processing, Artificial Neural Network (ANN) can be a useful tool for effective snow modeling because of its ability to capture and represent complex input-output relationships. Further research into understanding the applicability of neural networks to determine snow properties is required to obtain results from large snow cover areas of the Himalayan region.</t>
  </si>
  <si>
    <t>Haq, Mohd Anul/D-7802-2018; Baral, Prashant/CAE-9194-2022</t>
  </si>
  <si>
    <t>Haq, Mohd Anul/0000-0001-5913-5979;</t>
  </si>
  <si>
    <t>0890-8575</t>
  </si>
  <si>
    <t>1939-7445</t>
  </si>
  <si>
    <t>e12229</t>
  </si>
  <si>
    <t>10.1111/nrm.12229</t>
  </si>
  <si>
    <t>JUL 2019</t>
  </si>
  <si>
    <t>WOS:000477448100001</t>
  </si>
  <si>
    <t>Broxton, PD; Leeuwen, WJD; Biederman, JA</t>
  </si>
  <si>
    <t>Broxton, Patrick D.; van Leeuwen, Willem J. D.; Biederman, Joel A.</t>
  </si>
  <si>
    <t>Improving Snow Water Equivalent Maps With Machine Learning of Snow Survey and Lidar Measurements</t>
  </si>
  <si>
    <t>In the semiarid interior western USA, where a majority of surface water supply comes from mountain forests, high-resolution aerial lidar-based surveys are commonly used to study snow. These surveys provide rich information about snow depth, but they are usually not accompanied with spatially explicit measurements of snow density, which leads to uncertainty in the estimation of snow water equivalent (SWE). In this study, we use a novel approach to distribute similar to 300 field measurements of snow density with artificial neural networks. We combine the resulting density maps with aerial lidar snow depth measurements, bias corrected with a very large and precisely geolocated array of field-measured snow depths (similar to 4,000 observations), to create and validate maps of snow depth, snow density, and SWE over two sites along Arizona's Mogollon Rim in February and March 2017. These maps show differences between midwinter and late-winter snow conditions. In particular, compared to that of snow depth, the spatial variability of snow density is smaller for the later snow survey than the earlier snow survey. These gridded data also show that the representativeness of Snow Telemetry and other point measurements is different for the midwinter and late-winter snow surveys. Overall, the lidar artificial neural network SWE estimates can be as much as 30% different than if Snow Telemetry density were used with lidar snow depths to estimate SWE. Plain Language Summary In the western USA, a majority of surface water originates from mountain snowmelt. Knowing the quantity of water in the snowpack, called snow water equivalent (SWE), is critical for water supply forecasts and management of rivers and streams for water delivery and hydropower. In this study, we develop a new method to estimate SWE by combining aerial remote sensing maps of snow depth with snow density maps generated through machine learning of hundreds of field measurements of snow density. This study finds that on a given date, snow density can vary widely, highlighting the importance of considering its spatial variability when estimating SWE. These gridded data show that the representativeness of Snow Telemetry and other point measurements is different for the midwinter versus late winter snow surveys. In addition, we show that using spatially variable maps of snow density can impact watershed-scale SWE estimates by up to 30% as compared to using snow density measurements from commonly used snow monitoring stations. The method described in this study will be useful for generating SWE estimates for water supply monitoring, evaluating snow models, and understanding how changing mountain forests might impact SWE.</t>
  </si>
  <si>
    <t>Biederman, Joel/AAQ-2435-2020; van Leeuwen, Willem/ABB-6711-2020</t>
  </si>
  <si>
    <t>Biederman, Joel/0000-0002-1831-461X; van Leeuwen, Willem/0000-0002-3188-7172</t>
  </si>
  <si>
    <t>10.1029/2018WR024146</t>
  </si>
  <si>
    <t>WOS:000474848500008</t>
  </si>
  <si>
    <t>Nijhawan, R; Das, J; Raman, B</t>
  </si>
  <si>
    <t>Nijhawan, Rahul; Das, Josodhir; Raman, Balasubramanian</t>
  </si>
  <si>
    <t>A hybrid of deep learning and hand-crafted features based approach for snow cover mapping</t>
  </si>
  <si>
    <t>Monitoring the extent of snow cover plays a vital role for a better understanding of current and future climatic, ecological, and water cycle conditions. Previously, several traditional machine learning models have been applied for accomplishing this while exploring a variety of feature extraction techniques on various information sources. However, the laborious process of any amount of hand-crafted feature extraction has not helped to obtain high accuracies. Recently, deep learning models have shown that feature extraction can be made automatic and that they can achieve the required high accuracies but at the cost of requiring a large amount of labelled data. Fortunately, despite the absence of such large amounts of labelled data for this task, we can rely on pre-trained models, which accept red-green-blue (RGB) information (or dimensions-reduced spectral data). However, it is always better to include a variety of information sources to solve any problem, especially with the availability of other important information sources like synthetic aperture radar (SAR) imagery and elevation. We propose a hybrid model where the deep learning is assisted by these information sources which have until now been left out. Particularly, our model learns from both the deep learning features (derived from spectral data) and the hand-crafted features (derived from SAR and elevation). Such an approach shows interesting performance-improvement from 96.02% (through deep learning alone) to 98.10% when experiments were conducted for Khiroi village of the Himalayan region in India.</t>
  </si>
  <si>
    <t>JAN 17</t>
  </si>
  <si>
    <t>10.1080/01431161.2018.1519277</t>
  </si>
  <si>
    <t>WOS:000457495600016</t>
  </si>
  <si>
    <t>Hou, JL; Huang, CL; Zhang, Y; Guo, JF; Gu, J</t>
  </si>
  <si>
    <t>Hou, Jinliang; Huang, Chunlin; Zhang, Ying; Guo, Jifu; Gu, Juan</t>
  </si>
  <si>
    <t>Gap-Filling of MODIS Fractional Snow Cover Products via Non-Local Spatio-Temporal Filtering Based on Machine Learning Techniques</t>
  </si>
  <si>
    <t>Cloud obscuration leaves significant gaps in MODIS snow cover products. In this study, an innovative gap-filling method based on the concept of non-local spatio-temporal filtering (NSTF) is proposed to reconstruct the cloud gaps in MODIS fractional snow cover (SCF) products. The ground information of a gap pixel was estimated by using the appropriate similar pixels in the remaining known part of an image via an automatic machine learning technique. We take the MODIS SCF product cloud gap filling data from 2001 to 2016 in Northern Xinjiang, China as an example. The results demonstrate that the methodology can generate almost continuous spatio-temporal, daily MODIS SCF images, and it leaves only 0.52% of cloud gaps long-term, on average. The validation results based on cloud assumption exhibit high accuracy, with a higher R2 exceeding 0.8, a lower RMSE of 0.1, an overestimated error of 1.13%, an underestimated error of 1.4%, and a spatial efficiency (SPAEF) of 0.78. The validation based on 50 in situ snow depth observations demonstrates the superiority of the methodology in terms of accuracy and consistency. The overall accuracy is 93.72%. The average omission and commission error have increased approximately 1.16 and 0.53% compared with the original MODIS SCF products under a clear sky term.</t>
  </si>
  <si>
    <t>Zhang, Ying/0000-0002-1654-4112; HUANG, CHUNLIN/0000-0002-1366-5170</t>
  </si>
  <si>
    <t>JAN 1</t>
  </si>
  <si>
    <t>10.3390/rs11010090</t>
  </si>
  <si>
    <t>WOS:000457935600090</t>
  </si>
  <si>
    <t>Wang, JW; Yuan, QQ; Li, TW; Shen, HF; Zhang, LP</t>
  </si>
  <si>
    <t>Wang, Jiwen; Yuan, Qiangqiang; Li, Tongwen; Shen, Huanfeng; Zhang, Liangpei</t>
  </si>
  <si>
    <t>ESTIMATING SNOW-DEPTH BY FUSING SATELLITE AND STATION OBSERVATIONS: A DEEP LEARNING APPROACH</t>
  </si>
  <si>
    <t>Deriving accurate snow depth is of great importance since snow cover is an informat i ve indicator of climate change. The objective of this study is to develop a snow-depth retrieva l algorithm based on a deep learning approach by fusing passive microwave remote sensing brightness temperature, station observations and GNSS-R snow- depth product to improve the accuracy of snow- depth retrieval. The results show that DBN performs the best compared with three alternative algorithms.</t>
  </si>
  <si>
    <t>; Zhang, Liangpei/ADI-7616-2022; Yuan, Qiangqiang/V-4671-2019; Shen, Huanfeng/HPD-8048-2023</t>
  </si>
  <si>
    <t>Li, Tongwen/0000-0001-7197-3713;</t>
  </si>
  <si>
    <t>10.1109/igarss.2019.8900518</t>
  </si>
  <si>
    <t>WOS:000519270604012</t>
  </si>
  <si>
    <t>Kosmala, M; Hufkens, K; Richardson, AD</t>
  </si>
  <si>
    <t>Kosmala, Margaret; Hufkens, Koen; Richardson, Andrew D.</t>
  </si>
  <si>
    <t>Integrating camera imagery, crowdsourcing, and deep learning to improve high-frequency automated monitoring of snow at continental-to-global scales</t>
  </si>
  <si>
    <t>PLOS ONE</t>
  </si>
  <si>
    <t>Snow is important for local to global climate and surface hydrology, but spatial and temporal heterogeneity in the extent of snow cover make accurate, fine-scale mapping and monitoring of snow an enormous challenge. We took 184,453 daily near-surface images acquired by 133 automated cameras and processed them using crowdsourcing and deep learning to determine whether snow was present or absent in each image. We found that the crowdsourced data had an accuracy of 99.1% when compared with expert evaluation of the same imagery. We then used the image classification to train a deep convolutional neural network via transfer learning, with accuracies of 92% to 98%, depending on the image set and training method. The majority of neural network errors were due to snow that was present not being detected. We used the results of the neural networks to validate the presence or absence of snow inferred from the MODIS satellite sensor and obtained similar results to those from other validation studies. This method of using automated sensors, crowdsourcing, and deep learning in combination produced an accurate high temporal dataset of snow presence across a continent. It holds broad potential for real-time large-scale acquisition and processing of ecological and environmental data in support of monitoring, management, and research objectives.</t>
  </si>
  <si>
    <t>Richardson, Andrew/F-5691-2011; Hufkens, Koen/A-6313-2009</t>
  </si>
  <si>
    <t>Richardson, Andrew/0000-0002-0148-6714; Hufkens, Koen/0000-0002-5070-8109</t>
  </si>
  <si>
    <t>1932-6203</t>
  </si>
  <si>
    <t>DEC 27</t>
  </si>
  <si>
    <t>e0209649</t>
  </si>
  <si>
    <t>10.1371/journal.pone.0209649</t>
  </si>
  <si>
    <t>WOS:000454418200037</t>
  </si>
  <si>
    <t>Kan, X; Zhang, YH; Zhu, LL; Xiao, LM; Wang, JG; Tian, W; Tan, HW</t>
  </si>
  <si>
    <t>Kan, Xi; Zhang, Yonghong; Zhu, Linglong; Xiao, Liming; Wang, Jiangeng; Tian, Wei; Tan, Haowen</t>
  </si>
  <si>
    <t>Snow Cover Mapping for Mountainous Areas by Fusion of MODIS L1B and Geographic Data Based on Stacked Denoising Auto-Encoders</t>
  </si>
  <si>
    <t>CMC-COMPUTERS MATERIALS &amp; CONTINUA</t>
  </si>
  <si>
    <t>Snow cover plays an important role in meteorological and hydrological researches. However, the accuracies of currently available snow cover products are significantly lower in mountainous areas than in plains, due to the serious snow/cloud confusion problem caused by high altitude and complex topography. Aiming at this problem, an improved snow cover mapping approach for mountainous areas was proposed and applied in Qinghai-Tibetan Plateau. In this work, a deep learning framework named Stacked Denoising Auto-Encoders (SDAE) was employed to fuse the MODIS multispectral images and various geographic datasets, which are then classified into three categories: Snow, cloud and snow-free land. Moreover, two independent SDAE models were trained for snow mapping in snow and snow-free seasons respectively in response to the seasonal variations of meteorological conditions. The proposed approach was verified using in-situ snow depth records, and compared to the most widely used snow products MOD10A1 and MYD10A1. The comparison results show that our method got the best performance: Overall accuracy of 98.95% and F-measure of 73.84%. The results indicated that our method can effectively improve the snow recognition accuracy, and it can be further extended to other multi-source remote sensing image classification issues.</t>
  </si>
  <si>
    <t>; Tan, Haowen/D-2936-2018; Zhang, Yonghong/PJB-9718-2026; Wang, Jiangeng/MBG-9855-2025</t>
  </si>
  <si>
    <t>Zhu, Linglong/0000-0002-8863-9911; Kan, Xi/0000-0002-4629-9357;</t>
  </si>
  <si>
    <t>1546-2218</t>
  </si>
  <si>
    <t>1546-2226</t>
  </si>
  <si>
    <t>10.32604/cmc.2018.02376</t>
  </si>
  <si>
    <t>WOS:000449577600004</t>
  </si>
  <si>
    <t>Tang, GQ; Long, D; Behrangi, A; Wang, CG; Hong, Y</t>
  </si>
  <si>
    <t>Tang, Guoqiang; Long, Di; Behrangi, Ali; Wang, Cunguang; Hong, Yang</t>
  </si>
  <si>
    <t>Exploring Deep Neural Networks to Retrieve Rain and Snow in high Latitudes Using Multisensor and reanalysis Data</t>
  </si>
  <si>
    <t>Satellite remote sensing is able to provide information on global rain and snow, but challenges remain in accurate estimation of precipitation rates, particularly in snow retrieval. In this work, the deep neural network (DNN) is applied to estimate rain and snow rates in high latitudes. The reference data for DNN training are provided by two spaceborne radars onboard the Global Precipitation Measurement (GPM) Core Observatory and CloudSat. Passive microwave data from the GPM Microwave Imager (GMI), infrared data from MODerate resolution Imaging Spectroradiometer and environmental data from European Centre for Medium-Range Weather Forecasts are trained to the spaceborne radar-based reference precipitation. The DNN estimates are compared to data from the Goddard Profiling Algorithm (GPROF), which is used to retrieve passive microwave precipitation for the GPM mission. First, the DNN-based retrieval method performs well in both training and testing periods. Second, the DNN can reveal the advantages and disadvantages of different channels of GMI and MODerate resolution Imaging Spectroradiometer. Additionally, infrared and environmental data can improve precipitation estimation of the DNN, particularly for snowfall. Finally, based on the optimized DNN, rain and snow are estimated in 2017 from orbital GMI brightness temperatures and compared to ERA-Interim and Modern-Era Retrospective analysis for Research and Applications Version 2 reanalysis data. Evaluation results show that (1) the DNN can largely mitigate the underestimation of precipitation rates in high latitudes by GPROF; (2) the DNN-based snowfall estimates largely outperform those of GPROF; and (3) the spatial distributions of DNN-based precipitation are closer to reanalysis data. The method and assessment presented in this study could potentially contribute to the substantial improvement of satellite precipitation products in high latitudes. Plain Language Summary Snow has a significant influence on the hydrological cycle and water resource availability. Compared to ground gauges and radars with limited coverage, satellite remote sensing can provide global rain and snow observations from space. However, traditional satellite precipitation retrieval methods are prone to errors in snow estimation at high latitudes. In this study, we developed a new rain and snow estimation method at high latitudes using deep neural networks. The reference data sets were from two spaceborne radars that provide the most direct precipitation observations from space. Passive microwave, infrared, and environmental data were trained to the reference data sets for rain and snow estimation. Results show that the neural network-based method can largely reduce the underestimation of rain and snow rates in high latitudes in many prior algorithms. Statistical indices for snow estimation are notably improved. Furthermore, combining data from passive microwave, infrared, and environmental data sets contribute to better precipitation estimation than a single source. We suggest that deep neural networks could potentially contribute to the improvement of satellite precipitation at high latitudes, which is valuable for expanding the spatial coverage of current satellite products.</t>
  </si>
  <si>
    <t>Hong, Yang/D-5132-2009; Behrangi, Ali/V-8927-2019; Tang, Guoqiang/P-3802-2018; Long, Di/N-8049-2013</t>
  </si>
  <si>
    <t>Hong, Yang/0000-0001-8720-242X; Behrangi, Ali/0000-0001-7594-8793; Tang, Guoqiang/0000-0002-0923-583X; Long, Di/0000-0001-9033-5039</t>
  </si>
  <si>
    <t>10.1029/2018WR023830</t>
  </si>
  <si>
    <t>WOS:000450726000062</t>
  </si>
  <si>
    <t>Rysman, JF; Panegrossi, G; Sanò, P; Marra, AC; Dietrich, S; Milani, L; Kulie, MS</t>
  </si>
  <si>
    <t>Rysman, Jean-Francois; Panegrossi, Giulia; Sano, Paolo; Marra, Anna Cinzia; Dietrich, Stefano; Milani, Lisa; Kulie, Mark S.</t>
  </si>
  <si>
    <t>SLALOM: An All-Surface Snow Water Path Retrieval Algorithm for the GPM Microwave Imager</t>
  </si>
  <si>
    <t>This paper describes a new algorithm that is able to detect snowfall and retrieve the associated snow water path (SWP), for any surface type, using the Global Precipitation Measurement (GPM) Microwave Imager (GMI). The algorithm is tuned and evaluated against coincident observations of the Cloud Profiling Radar (CPR) onboard CloudSat. It is composed of three modules for (i) snowfall detection, (ii) supercooled droplet detection and (iii) SWP retrieval. This algorithm takes into account environmental conditions to retrieve SWP and does not rely on any surface classification scheme. The snowfall detection module is able to detect 83% of snowfall events including light SWP (down to 1 x 10(-3) kgm(-2)) with a false alarm ratio of 0.12. The supercooled detection module detects 97% of events, with a false alarm ratio of 0.05. The SWP estimates show a relative bias of -11%, a correlation of 0.84 and a root mean square error of 0.04 kgm(-2). Several applications of the algorithm are highlighted: Three case studies of snowfall events are investigated, and a 2-year high resolution 70 degrees S-70 degrees N snowfall occurrence distribution is presented. These results illustrate the high potential of this algorithm for snowfall detection and SWP retrieval using GMI.</t>
  </si>
  <si>
    <t>Sanò, Paolo/C-7100-2015; Panegrossi, Giulia/C-5702-2015; Kulie, Mark/C-3289-2011; MARRA, ANNA CINZIA/P-6858-2018; Milani, Lisa/AAB-2084-2020; Dietrich, Stefano/C-3898-2015</t>
  </si>
  <si>
    <t>Sanò, Paolo/0000-0001-7059-1043; Panegrossi, Giulia/0000-0002-5170-7087; MARRA, ANNA CINZIA/0000-0002-3326-6599; Milani, Lisa/0000-0003-0498-1021; Dietrich, Stefano/0000-0003-3808-365X</t>
  </si>
  <si>
    <t>10.3390/rs10081278</t>
  </si>
  <si>
    <t>WOS:000443618100114</t>
  </si>
  <si>
    <t>Picard, G; Sandells, M; Löwe, H</t>
  </si>
  <si>
    <t>Picard, Ghislain; Sandells, Melody; Loewe, Henning</t>
  </si>
  <si>
    <t>SMRT: an active-passive microwave radiative transfer model for snow with multiple microstructure and scattering formulations (v1.0)</t>
  </si>
  <si>
    <t>GEOSCIENTIFIC MODEL DEVELOPMENT</t>
  </si>
  <si>
    <t>The Snow Microwave Radiative Transfer (SMRT) thermal emission and backscatter model was developed to determine uncertainties in forward modeling through intercomparison of different model ingredients. The model differs from established models by the high degree of flexibility in switching between different electromagnetic theories, representations of snow microstructure, and other modules involved in various calculation steps. SMRT v1.0 includes the dense media radiative transfer theory (DMRT), the improved Born approximation (IBA), and independent Rayleigh scatterers to compute the intrinsic electromagnetic properties of a snow layer. In the case of IBA, five different formulations of the autocorrelation function to describe the snow microstructure characteristics are available, including the sticky hard sphere model, for which close equivalence between the IBA and DMRT theories has been shown here. Validation is demonstrated against established theories and models. SMRT was used to identify that several former studies conducting simulations with in situ measured snow properties are now comparable and moreover appear to be quantitatively nearly equivalent. This study also proves that a third parameter is needed in addition to density and specific surface area to characterize the microstructure. The paper provides a comprehensive description of the mathematical basis of SMRT and its numerical implementation in Python. Modularity supports model extensions foreseen in future versions comprising other media (e.g., sea ice, frozen lakes), different scattering theories, rough surface models, or new microstructure models.</t>
  </si>
  <si>
    <t>Löwe, Henning/B-6279-2009; Picard, Ghislain/D-4246-2013; Sandells, Melody/AAO-4664-2020</t>
  </si>
  <si>
    <t>Picard, Ghislain/0000-0003-1475-5853; Sandells, Melody/0000-0002-4120-5163</t>
  </si>
  <si>
    <t>1991-959X</t>
  </si>
  <si>
    <t>1991-9603</t>
  </si>
  <si>
    <t>JUL 11</t>
  </si>
  <si>
    <t>10.5194/gmd-11-2763-2018</t>
  </si>
  <si>
    <t>WOS:000438302100002</t>
  </si>
  <si>
    <t>Snauffer, AM; Hsieh, WW; Cannon, AJ; Schnorbus, MA</t>
  </si>
  <si>
    <t>Snauffer, Andrew M.; Hsieh, William W.; Cannon, Alex J.; Schnorbus, Markus A.</t>
  </si>
  <si>
    <t>Improving gridded snow water equivalent products in British Columbia, Canada: multi-source data fusion by neural network models</t>
  </si>
  <si>
    <t>Estimates of surface snow water equivalent (SWE) in mixed alpine environments with seasonal melts are particularly difficult in areas of high vegetation density, topographic relief, and snow accumulations. These three confounding factors dominate much of the province of British Columbia (BC), Canada. An artificial neural network (ANN) was created using as predictors six gridded SWE products previously evaluated for BC. Relevant spatiotemporal covariates were also included as predictors, and observations from manual snow surveys at stations located throughout BC were used as target data. Mean absolute errors (MAEs) and inter-annual correlations for April surveys were found using cross-validation. The ANN using the three best-performing SWE products (ANN3) had the lowest mean station MAE across the province. ANN3 outperformed each product as well as product means and multiple linear regression (MLR) models in all of BC's five physiographic regions except for the BC Plains. Subsequent comparisons with predictions generated by the Variable Infiltration Capacity (VIC) hydrologic model found ANN3 to better estimate SWE over the VIC domain and within most regions. The superior performance of ANN3 over the individual products, product means, MLR, and VIC was found to be statistically significant across the province.</t>
  </si>
  <si>
    <t>; Cannon, Alex/A-5747-2009; Hsieh, William/G-8380-2011</t>
  </si>
  <si>
    <t>Snauffer, Anew/0000-0001-6928-6164; Cannon, Alex/0000-0002-8025-3790;</t>
  </si>
  <si>
    <t>MAR 12</t>
  </si>
  <si>
    <t>10.5194/tc-12-891-2018</t>
  </si>
  <si>
    <t>WOS:000427109300001</t>
  </si>
  <si>
    <t>Lemmetyinen, J; Derksen, C; Rott, H; Macelloni, G; King, J; Schneebeli, M; Wiesmann, A; Leppänen, L; Kontu, A; Pulliainen, J</t>
  </si>
  <si>
    <t>Lemmetyinen, Juha; Derksen, Chris; Rott, Helmut; Macelloni, Giovanni; King, Josh; Schneebeli, Martin; Wiesmann, Andreas; Leppaenen, Leena; Kontu, Anna; Pulliainen, Jouni</t>
  </si>
  <si>
    <t>Retrieval of Effective Correlation Length and Snow Water Equivalent from Radar and Passive Microwave Measurements</t>
  </si>
  <si>
    <t>Current methods for retrieving SWE (snow water equivalent) from space rely on passive microwave sensors. Observations are limited by poor spatial resolution, ambiguities related to separation of snow microstructural properties from the total snow mass, and signal saturation when snow is deep (similar to&gt;80 cm). The use of SAR (Synthetic Aperture Radar) at suitable frequencies has been suggested as a potential observation method to overcome the coarse resolution of passive microwave sensors. Nevertheless, suitable sensors operating from space are, up to now, unavailable. Active microwave retrievals suffer, however, from the same difficulties as the passive case in separating impacts of scattering efficiency from those of snow mass. In this study, we explore the potential of applying active (radar) and passive (radiometer) microwave observations in tandem, by using a dataset of co-incident tower-based active and passive microwave observations and detailed in situ data from a test site in Northern Finland. The dataset spans four winter seasons with daily coverage. In order to quantify the temporal variability of snow microstructure, we derive an effective correlation length for the snowpack (treated as a single layer), which matches the simulated microwave response of a semi-empirical radiative transfer model to observations. This effective parameter is derived from radiometer and radar observations at different frequencies and frequency combinations (10.2, 13.3 and 16.7 GHz for radar; 10.65, 18.7 and 37 GHz for radiometer). Under dry snow conditions, correlations are found between the effective correlation length retrieved from active and passive measurements. Consequently, the derived effective correlation length from passive microwave observations is applied to parameterize the retrieval of SWE using radar, improving retrieval skill compared to a case with no prior knowledge of snow-scattering efficiency. The same concept can be applied to future radar satellite mission concepts focused on retrieving SWE, exploiting existing methods for retrieval of snow microstructural parameters, as employed within the ESA (European Space Agency) GlobSnow SWE product. Using radar alone, a seasonally optimized value of effective correlation length to parameterize retrievals of SWE was sufficient to provide an accuracy of &lt;25 mm (unbiased) Root-Mean Square Error using certain frequency combinations. A temporally dynamic value, derived from e.g., physical snow models, is necessary to further improve retrieval skill, in particular for snow regimes with larger temporal variability in snow microstructure and a more pronounced layered structure.</t>
  </si>
  <si>
    <t>Derksen, Chris/S-9828-2017; Kontu, Anna/O-8886-2014; Pulliainen, Jouni/Y-4810-2019; MACELLONI, GIOVANNI/B-7518-2015; Lemmetyinen, Juha/B-3739-2016; Schneebeli, Martin/B-1063-2008</t>
  </si>
  <si>
    <t>Derksen, Chris/0000-0001-6821-5479; Kontu, Anna/0000-0001-6880-6260; Pulliainen, Jouni/0000-0003-1157-2920; Leppänen, Leena/0000-0003-1605-8306; MACELLONI, GIOVANNI/0000-0002-9738-7939; Wiesmann, Aneas/0000-0002-5889-2887; Schneebeli, Martin/0000-0003-2872-4409</t>
  </si>
  <si>
    <t>10.3390/rs10020170</t>
  </si>
  <si>
    <t>WOS:000427542100017</t>
  </si>
  <si>
    <t>Varshney, D; Gupta, PK; Persello, C; Nikam, BR</t>
  </si>
  <si>
    <t>Kumar, AS; Saran, S; Padalia, H</t>
  </si>
  <si>
    <t>Varshney, D.; Gupta, P. K.; Persello, C.; Nikam, B. R.</t>
  </si>
  <si>
    <t>SNOW AND CLOUD DISCRIMINATION USING CONVOLUTIONAL NEURAL NETWORKS</t>
  </si>
  <si>
    <t>ISPRS TC V MID-TERM SYMPOSIUM GEOSPATIAL TECHNOLOGY - PIXEL TO PEOPLE</t>
  </si>
  <si>
    <t>ISPRS Annals of the Photogrammetry, Remote Sensing and Spatial Information Sciences</t>
  </si>
  <si>
    <t>ISPRS TC V Mid-Term Symposium on Geospatial Technology - Pixel to People</t>
  </si>
  <si>
    <t>NOV 20-23, 2018</t>
  </si>
  <si>
    <t>Dehradun, INDIA</t>
  </si>
  <si>
    <t>Int Soc Photogrammetry &amp; Remote Sensing,Int Soc Photogrammetry &amp; Remote Sensing Tech Commiss V</t>
  </si>
  <si>
    <t>Snow is an important feature on our planet, and measuring its extent has advantages in climate studies. Snow mapping through satellite remote sensing is often affected by cloud cover. This issue can be resolved by using short wave infrared (SWIR) sensors. In order to obtain an effective cloud mask, our study aims to use SWIR data of a ResourceSat-2 satellite. We employ Convolutional Neural Networks (CNN) to discriminate similar pixels of clouds and snow. The technique is expected to give a high accuracy compared to traditional methods such as thresholding. The cloud mask thus produced can also be used for creating the metadata for Indian Remote Sensing products.</t>
  </si>
  <si>
    <t>Nikam, Bhaskar/AAG-1682-2020; Gupta, Prasun Kumar/AHB-0078-2022; Persello, Claudio/AAN-2070-2020</t>
  </si>
  <si>
    <t>Nikam, Bhaskar/0000-0001-7617-5761; Gupta, Prasun Kumar/0000-0003-0689-4167; Persello, Claudio/0000-0003-3742-5398</t>
  </si>
  <si>
    <t>2194-9042</t>
  </si>
  <si>
    <t>2194-9050</t>
  </si>
  <si>
    <t>4-5</t>
  </si>
  <si>
    <t>10.5194/isprs-annals-IV-5-59-2018</t>
  </si>
  <si>
    <t>WOS:000466548600009</t>
  </si>
  <si>
    <t>Pan, JM; Durand, MT; Vander Jagt, BJ; Liu, DS</t>
  </si>
  <si>
    <t>Pan, Jinmei; Durand, Michael T.; Vander Jagt, Benjamin J.; Liu, Desheng</t>
  </si>
  <si>
    <t>Application of a Markov Chain Monte Carlo algorithm for snow water equivalent retrieval from passive microwave measurements</t>
  </si>
  <si>
    <t>Recent applications of passive microwave remote sensing techniques to estimate snow water equivalent (SWE) increasingly rely on the comprehension of microwave emission theories, instead of traditional empirical fitting approaches. In this study, an advanced SWE retrieval algorithm based on the Markov Chain Monte Carlo method was developed. This method samples the posterior multiple-layer snow properties according to the likelihood of the brightness temperature (TB) simulation with the actual TB observations. The Microwave Emission Model of Layered Snowpacks with improved Born approximation (MEMLS-IBA) was used as the observation model. Using a globally applicable method to produce prior estimates of snow properties, the retrieval approach is called the Bayesian Algorithm for SWE Estimation with Passive Microwave measurements (BASE-PM), and was applied on 48 snowpits at Sodanlcyla, Finland; Churchill, Canada and Colorado, US. The result shows that the root mean squared (RMS) error of the retrieved SWE is 42.7 mm excluding two outliers, and is 30.8 mm if the outliers as well as six deep snowpits from Colorado are excluded. This accuracy approximately meets the 30-mm requirement of Integrated Global Observing Strategy for shallow snow. The poor performance for the outlier and deep snowpits is explained. Additional experiments using more accurate priors show that SWE retrieval accuracy can be improved with local snowcover knowledge, e.g. if historical snowpit measurements or snow process model simulations are available. (C) 2017 Elsevier Inc. All rights reserved.</t>
  </si>
  <si>
    <t>Durand, Michael/D-2885-2013; Liu, Desheng/A-9356-2011</t>
  </si>
  <si>
    <t>Durand, Michael/0000-0003-2682-6196; Pan, Jinmei/0000-0003-2726-771X;</t>
  </si>
  <si>
    <t>10.1016/j.rse.2017.02.006</t>
  </si>
  <si>
    <t>WOS:000398645000012</t>
  </si>
  <si>
    <t>Çiftçi, BB; Kuter, S; Akyürek, Z; Weber, GW</t>
  </si>
  <si>
    <t>Karas, IR; Isikdag, U; Rahman, AA</t>
  </si>
  <si>
    <t>Ciftci, B. B.; Kuter, S.; Akyurek, Z.; Weber, G-W</t>
  </si>
  <si>
    <t>FRACTIONAL SNOW COVER MAPPING BY ARTIFICIAL NEURAL NETWORKS AND SUPPORT VECTOR MACHINES</t>
  </si>
  <si>
    <t>4TH INTERNATIONAL GEOADVANCES WORKSHOP - GEOADVANCES 2017: ISPRS WORKSHOP ON MULTI-DIMENSIONAL &amp; MULTI-SCALE SPATIAL DATA MODELING</t>
  </si>
  <si>
    <t>4th International Workshop on Geoinformation Science / 4th ISPRS International Workshop on Multi-Dimensional and Multi-Scale Spatial Data Modeling (GeoAdvances)</t>
  </si>
  <si>
    <t>OCT 14-15, 2017</t>
  </si>
  <si>
    <t>Karabuk Univ, Safranbolu Campus, Safranbolu, TURKEY</t>
  </si>
  <si>
    <t>Int Soc Photogrammetry &amp; Remote Sensing</t>
  </si>
  <si>
    <t>Karabuk Univ, Safranbolu Campus</t>
  </si>
  <si>
    <t>Snow is an important land cover whose distribution over space and time plays a significant role in various environmental processes. Hence, snow cover mapping with high accuracy is necessary to have a real understanding for present and future climate, water cycle, and ecological changes. This study aims to investigate and compare the design and use of artificial neural networks (ANNs) and support vector machines (SVMs) algorithms for fractional snow cover (FSC) mapping from satellite data. ANN and SVM models with different model building settings are trained by using Moderate Resolution Imaging Spectroradiometer surface reflectance values of bands 1-7, normalized difference snow index and normalized difference vegetation index as predictor variables. Reference FSC maps are generated from higher spatial resolution Landsat ETM+ binary snow cover maps. Results on the independent test data set indicate that the developed ANN model with hyperbolic tangent transfer function in the output layer and the SVM model with radial basis function kernel produce high FSC mapping accuracies with the corresponding values of R = 0.93 and R = 0.92, respectively.</t>
  </si>
  <si>
    <t>AKYUREK, Zuhal/Q-4297-2016; Weber, Gerhard-Wilhelm/V-2046-2017; Kuter, Semih/AAF-3298-2021</t>
  </si>
  <si>
    <t>Weber, Gerhard-Wilhelm/0000-0003-0849-7771; Kuter, Semih/0000-0002-4760-3816</t>
  </si>
  <si>
    <t>4-4</t>
  </si>
  <si>
    <t>W4</t>
  </si>
  <si>
    <t>10.5194/isprs-annals-IV-4-W4-179-2017</t>
  </si>
  <si>
    <t>WOS:000568997100028</t>
  </si>
  <si>
    <t>Lee, KS; Jin, D; Yeom, JM; Seo, M; Choi, S; Kim, JJ; Han, KS</t>
  </si>
  <si>
    <t>Lee, Kyeong-Sang; Jin, Donghyun; Yeom, Jong-Min; Seo, Minji; Choi, Sungwon; Kim, Jae-Jin; Han, Kyung-Soo</t>
  </si>
  <si>
    <t>New Approach for Snow Cover Detection through Spectral Pattern Recognition with MODIS Data</t>
  </si>
  <si>
    <t>JOURNAL OF SENSORS</t>
  </si>
  <si>
    <t>Snow cover plays an important role in climate and hydrology, at both global and regional scales. Most previous studies have used static threshold techniques to detect snow cover, which can lead to errors such as misclassification of snow and clouds, because the reflectance of snow cover exhibits variability and is affected by several factors. Therefore, we present a simple new algorithm for mapping snow cover from Moderate Resolution Imaging Spectroradiometer (MODIS) data using dynamic wavelength warping (DWW), which is based on dynamic time warping (DTW). DTW is a pattern recognition technique that is widely used in various fields such as human action recognition, anomaly detection, and clustering. Before performing DWW, we constructed 49 snow reflectance spectral libraries as reference data for various solar zenith angle and digital elevation model conditions using approximately 1.6 million sampled data. To verify the algorithm, we compared our results with the MODIS swath snow cover product (MOD10_L2). Producer's accuracy, user's accuracy, and overall accuracy values were 92.92%, 78.41%, and 92.24%, respectively, indicating good overall classification accuracy. The proposed algorithm is more useful for discriminating between snow cover and clouds than threshold techniques in some areas, such as those with a high viewing zenith angle.</t>
  </si>
  <si>
    <t>; /C-7894-2014; 염, 종민/AGX-9286-2022</t>
  </si>
  <si>
    <t>Seo, Minji/0000-0001-8413-6930; Han, Kyung-Soo/0000-0002-5031-0256;</t>
  </si>
  <si>
    <t>1687-725X</t>
  </si>
  <si>
    <t>1687-7268</t>
  </si>
  <si>
    <t>10.1155/2017/4820905</t>
  </si>
  <si>
    <t>WOS:000416944100001</t>
  </si>
  <si>
    <t>Shi, JC; Xiong, C; Jiang, LM</t>
  </si>
  <si>
    <t>Shi JianCheng; Xiong Chuan; Jiang LingMei</t>
  </si>
  <si>
    <t>Review of snow water equivalent microwave remote sensing</t>
  </si>
  <si>
    <t>Accurate quantitative global scale snow water equivalent information is crucial for meteorology, hydrology, water cycle and global change studies, and is of great importance for snow melt-runoff forecast, water resources management and flood control. With land surface process model and snow process model, the snow water equivalent can be simulated with certain accuracy, with the forcing data as input. However, the snow water equivalent simulated using the snow process models has large uncertainties spatially and temporally, and it may be far from the needs of practical applications. Thus, the large scale snow water equivalent information is mainly from remote sensing. Beginning with the launch of Nimbus-7 satellite, the research on microwave snow water equivalent remote sensing has developed for more than 30 years, researchers have made progress in many aspects, including the electromagnetic scattering and emission modeling, ground and airborne experiments, and inversion algorithms for future global high resolution snow water equivalent remote sensing program. In this paper, the research and progress in the aspects of electromagnetic scattering/emission modeling over snow covered terrain and snow water equivalent inversion algorithm will be summarized.</t>
  </si>
  <si>
    <t>Jiang, Lingmei/L-6099-2016; Shi, Jiancheng/HIU-0908-2022</t>
  </si>
  <si>
    <t>Jiang, Lingmei/0000-0002-9847-9034;</t>
  </si>
  <si>
    <t>10.1007/s11430-015-5225-0</t>
  </si>
  <si>
    <t>WOS:000372544800006</t>
  </si>
  <si>
    <t>Nikraftar, Z; Hasanlou, M; Esmaeilzadeh, M</t>
  </si>
  <si>
    <t>Halounova, L; Safar, V; Raju, PLN; Planka, L; Zdimal, V; Kumar, TS; Faruque, FS; Kerr, Y; Ramasamy, SM; Comiso, J; Hussin, YA; Thenkabail, PS; Lavender, S; Skidmore, A; Yue, P; Patias, P; Altan, O; Weng, Q</t>
  </si>
  <si>
    <t>Nikraftar, Z.; Hasanlou, M.; Esmaeilzadeh, M.</t>
  </si>
  <si>
    <t>NOVEL SNOW DEPTH RETRIEVAL METHOD USING TIME SERIES SSMI PASSIVE MICROWAVE IMAGERY</t>
  </si>
  <si>
    <t>XXIII ISPRS CONGRESS, COMMISSION VIII</t>
  </si>
  <si>
    <t>International Archives of the Photogrammetry Remote Sensing and Spatial Information Sciences</t>
  </si>
  <si>
    <t>23rd Congress of the International-Society-for-Photogrammetry-and-Remote-Sensing (ISPRS)</t>
  </si>
  <si>
    <t>JUL 12-19, 2016</t>
  </si>
  <si>
    <t>Prague, CZECH REPUBLIC</t>
  </si>
  <si>
    <t>The Special Sensor Microwave Imager (SSM/I) and the Special Sensor Microwave Imager Sounder (SSM/IS) are satellites that work in passive microwave range. The SSM/I has capability to measure geophysical parameters which these parameters are key to investigate the climate and hydrology condition in the world. In this research the SSMI passive microwave data is used to study the feasibility of monitoring snow depth during snowfall month from 2010 to 2015 using an algorithm in conjunction with ground depth measured at meteorological stations of the National Centre for Environmental Information (NCEI). The previous procedures for snow depth retrieval algorithms uses only one or two passive bands for modelling snow depth. This study enable us to use of a nonlinear multidimensional regression algorithm which incorporates all channels and their related weighting coefficients for each band. Higher value of these coefficients are indicator of the importance of each band in the regression model. All channels and their combination were used in support of the vector algorithm combined with genetic algorithm (GA) for feature selection to estimate snow depth. The results were compared with those algorithms developed by recent researchers and the results clearly shows the superiority of proposed method (R-2 = 0.82 and RMSE = 6.3 cm).</t>
  </si>
  <si>
    <t>Hasanlou, Mahdi/B-2226-2018</t>
  </si>
  <si>
    <t>Hasanlou, Mahdi/0000-0002-7254-4475; Nikraftar, Zahir/0000-0002-0149-7237</t>
  </si>
  <si>
    <t>2194-9034</t>
  </si>
  <si>
    <t>B8</t>
  </si>
  <si>
    <t>10.5194/isprsarchives-XLI-B8-525-2016</t>
  </si>
  <si>
    <t>WOS:000393156000089</t>
  </si>
  <si>
    <t>Tanikawa, T; Li, W; Kuchiki, K; Aoki, T; Hori, M; Stamnes, K</t>
  </si>
  <si>
    <t>Tanikawa, Tomonori; Li, Wei; Kuchiki, Katsuyuki; Aoki, Teruo; Hori, Masahiro; Stamnes, Knut</t>
  </si>
  <si>
    <t>Retrieval of snow physical parameters by neural networks and optimal estimation: case study for ground-based spectral radiometer system</t>
  </si>
  <si>
    <t>OPTICS EXPRESS</t>
  </si>
  <si>
    <t>A new retrieval algorithm for estimation of snow grain size and impurity concentration from spectral radiation data is developed for remote sensing applications. A radiative transfer (RT) model for the coupled atmosphere-snow system is used as a forward model. This model simulates spectral radiant quantities for visible and near-infrared channels. The forward RT calculation is, however, the most time-consuming part of the forward-inverse modeling. Therefore, we replaced it with a neural network (NN) function for fast computation of radiances and Jacobians. The retrieval scheme is based on an optimal estimation method with a priori constraints. The NN function was also employed to obtain an accurate first guess in the retrieval scheme. Validation with simulation data shows that a combination of NN techniques and optimal estimation method can provide more accurate retrievals than by using only NN techniques. In addition, validation with in-situ measurements conducted by using ground-based spectral radiometer system shows that comparison between retrieved snow parameters with in-situ measurements is acceptable with satisfactory accuracy. The algorithm provides simultaneous, accurate and fast retrieval of the snow properties. The algorithm presented here is useful for airborne/satellite remote sensing. (C) 2015 Optical Society of America</t>
  </si>
  <si>
    <t>, Masahiro/0000-0002-9729-7909</t>
  </si>
  <si>
    <t>1094-4087</t>
  </si>
  <si>
    <t>NOV 30</t>
  </si>
  <si>
    <t>A1442</t>
  </si>
  <si>
    <t>A1462</t>
  </si>
  <si>
    <t>10.1364/OE.23.0A1442</t>
  </si>
  <si>
    <t>WOS:000366614100009</t>
  </si>
  <si>
    <t>He, GJ; Xiao, PF; Feng, XZ; Zhang, XL; Wang, Z; Chen, N</t>
  </si>
  <si>
    <t>He, Guangjun; Xiao, Pengfeng; Feng, Xuezhi; Zhang, Xueliang; Wang, Zuo; Chen, Ni</t>
  </si>
  <si>
    <t>Extracting Snow Cover in Mountain Areas Based on SAR and Optical Data</t>
  </si>
  <si>
    <t>Snow cover in cold and arid regions is a key factor controlling regional energy balances, hydrological cycle, and water utilization. Interferometric synthetic aperture radar (InSAR) technology offers the ability to monitor snow cover in all weather. In this letter, a support vector machine (SVM) method for extracting snow cover based on SAR and optical data in rugged mountain terrain is introduced. In this method, RadarSat-2 InSAR interferometric coherence images are analyzed, adopting snow-covered and snow-free areas obtained from GF-1 satellite observations as the ground truth. The analysis results indicate that the coherence in copolarizations is clearly correlated with the underlying surface type and local incidence angle. These two factors, combined with training samples from GF-1 wide field viewer data, were used to build an SVM to classify coherence images in HH polarization. The classification results demonstrate that snow cover extraction using this method can achieve mean accuracies of 83.8% and 77.5% in areas with low and high vegetation coverage, respectively. These accuracies are significantly higher than those achieved by the typical thresholding algorithm (72.7% and 69.2%, respectively).</t>
  </si>
  <si>
    <t>Feng, Xuezhi/NYS-8555-2025; Xiao, Pengfeng/A-8143-2016</t>
  </si>
  <si>
    <t>Xiao, Pengfeng/0000-0003-2739-3302</t>
  </si>
  <si>
    <t>10.1109/LGRS.2014.2386275</t>
  </si>
  <si>
    <t>WOS:000351412200044</t>
  </si>
  <si>
    <t>Czyzowska-Wisniewski, EH; van Leeuwen, WJD; Hirschboeck, KK; Marsh, SE; Wisniewski, WT</t>
  </si>
  <si>
    <t>Czyzowska-Wisniewski, Elzbieta H.; van Leeuwen, Willem J. D.; Hirschboeck, Katherine K.; Marsh, Stuart E.; Wisniewski, Wit T.</t>
  </si>
  <si>
    <t>Fractional snow cover estimation in complex alpine-forested environments using an artificial neural network</t>
  </si>
  <si>
    <t>There is an undisputed need to increase accuracy of Fractional Snow Cover (FSC) estimation in regions of complex terrain, especially in areas dependent on winter snow accumulation for a substantial portion of their water supply, such as the western United States. The main aim of this research is to develop FSC estimation in complex alpine-forested environments using an Artificial Neural Network (ANN) methodology as a fusion framework between multi-sensor remotely sensed data at medium temporal/spatial resolution (e.g.16-day revisit time; 30 m; Landsat), and high spatial resolutions (e.g.1 m; IKONOS). This research is the first known attempt to develop a multi-scale estimator of FSC from surface equivalent reference data derived from IKONOS multispectral data. It is also the first endeavor to estimate FSC values by combining terrain and snow/non-snow reflectance data. The plasticity of the developed ANN Landsat-FSC model accommodates alpine-forest heterogeneity, and renders unbiased, comprehensive, and precise FSC estimates. The accuracy of the ANN Landsat based FSC is characterized by: (1) very low error values (mean error similar to 0.0002; RMSE similar to 0.10; MAE similar to 0.08 FSC), (2) high correlation with the ground equivalent reference datasets derived from I m resolution IKONOS images (r(2) similar to 0.9), and (3) robust FSC estimation that is independent of terrain/vegetation alpine heterogeneity. The latter is supported by a spatially uniform distribution of errors, and lack of correlation between terrain (slope, aspect, terrain shadow distribution), Normalized Difference Vegetation Index, and the error (r(2) = 0). (C) 2014 Elsevier Inc. All rights reserved.</t>
  </si>
  <si>
    <t>van Leeuwen, Willem/ABB-6711-2020</t>
  </si>
  <si>
    <t>van Leeuwen, Willem/0000-0002-3188-7172</t>
  </si>
  <si>
    <t>10.1016/j.rse.2014.09.026</t>
  </si>
  <si>
    <t>WOS:000347579900033</t>
  </si>
  <si>
    <t>Dariane, AB; Azimi, S; Zakerinejad, A</t>
  </si>
  <si>
    <t>Dariane, A. B.; Azimi, S.; Zakerinejad, A.</t>
  </si>
  <si>
    <t>Artificial neural network coupled with wavelet transform for estimating snow water equivalent using passive microwave data</t>
  </si>
  <si>
    <t>JOURNAL OF EARTH SYSTEM SCIENCE</t>
  </si>
  <si>
    <t>Snow Water Equivalent (SWE) is an important parameter in hydrologic engineering involving the stream-flow forecasting of high-elevation watersheds. In this paper, the application of classic Artificial Neural Network model (ANN) and a hybrid model combining the wavelet and ANN (WANN) is investigated in estimating the value of SWE in a mountainous basin. In addition, k-fold cross validation method is used in order to achieve a more reliable and robust model. In this regard, microwave images acquired from Spectral Sensor Microwave Imager (SSM/I) are used to estimate the SWE of Tehran sub-basins during 1992-2008 period. Also for obtaining measured SWE within the corresponding Equal-Area Scalable Earth-Grid (EASE-Grid) cell of SSM/I image, approach of Cell-SWE extraction using height-SWE relations is applied in order to reach more precise estimations. The obtained results reveal that the wavelet-ANN model significantly increases the accuracy of estimations, mainly because of using multi-scale time series as the ANN inputs. The Nash-Sutcliffe Index (NSE) for ANN and WANN models is respectively 0.09 and 0.44 which shows a firm improvement of 0.35 in NSE parameter when WANN is applied. Similar trend is observed in other parameters including RMSE where the value is 0.3 for ANN and 0.07 for WANN.</t>
  </si>
  <si>
    <t>Dariane, Alireza/0000-0002-8540-9870; Azimi, Shima/0009-0007-3216-1430</t>
  </si>
  <si>
    <t>2347-4327</t>
  </si>
  <si>
    <t>0973-774X</t>
  </si>
  <si>
    <t>10.1007/s12040-014-0485-1</t>
  </si>
  <si>
    <t>WOS:000343954200010</t>
  </si>
  <si>
    <t>Hou, JL; Huang, CL</t>
  </si>
  <si>
    <t>Hou, Jinliang; Huang, Chunlin</t>
  </si>
  <si>
    <t>Improving Mountainous Snow Cover Fraction Mapping via Artificial Neural Networks Combined With MODIS and Ancillary Topographic Data</t>
  </si>
  <si>
    <t>A multilayer feedforward artificial neural network (ANN) is developed for mountainous fractional snow cover (FSC) mapping. This is trained with back propagation to learn the relationship between FSC and Moderate Resolution Imaging Spectroradiometer (MODIS) products (reflectance at seven bands, normalized difference snow index, land surface temperature (LST), and FSC) and elevation. In this paper, images from Landsat Enhanced Thematic Mapper Plus (ETM+) and MODIS products from three periods are chosen to test and validate the proposed method at the Heihe River Basin. Three binary snow cover maps derived from Landsat ETM+ images are used to calculate FSC. Two of these maps are first used to train, calibrate, and test the ANN. The other independent image is used to test the generalization ability of network. Results show that the ANN can easily incorporate auxiliary information to improve the accuracy of snow cover mapping effectively. It is also capable of mapping snow cover fraction in a complicated mountainous area with considerable generalization. For the nonindependent test set, the performance evaluation results show that the improvements of ANN-based methods are apparent compared with MODIS FSC products (higher correlation coefficient, lower root-mean-square error, and more accurate total snow cover area). For the temporal/temporal-spatial independent test set, ANN-based methods perform slightly worse than the nonindependent test set, but the accuracy of the ANN methods still shows some improvement. Elevation, LST, and FSC play more important roles in the training process of the ANN. Overall, experiment 8, which integrated all input information, is approved the best in all test sets.</t>
  </si>
  <si>
    <t>/G-6715-2011</t>
  </si>
  <si>
    <t>10.1109/TGRS.2013.2290996</t>
  </si>
  <si>
    <t>WOS:000337171900029</t>
  </si>
  <si>
    <t>Mishra, B; Tripathi, NK; Babel, MS</t>
  </si>
  <si>
    <t>Mishra, Bhogendra; Tripathi, Nitin K.; Babel, Mukand S.</t>
  </si>
  <si>
    <t>An artificial neural network-based snow cover predictive modeling in the higher Himalayas</t>
  </si>
  <si>
    <t>With trends indicating increase in temperature and decrease in winter precipitation, a significant negative trend in snow-covered areas has been identified in the last decade in the Himalayas. This requires a quantitative analysis of the snow cover in the higher Himalayas. In this study, a nonlinear autoregressive exogenous model, an artificial neural network (ANN), was deployed to predict the snow cover in the Kaligandaki river basin for the next 30 years. Observed climatic data, and snow covered area was used to train and test the model that captures the gross features of snow under the current climate scenario. The range of the likely effects of climate change on seasonal snow was assessed in the Himalayas using downscaled temperature and precipitation change projection from - HadCM3, a global circulation model to project future climate scenario, under the A1B emission scenario, which describes a future world of very rapid economic growth with balance use between fossil and non-fossil energy sources. The results show that there is a reduction of 9% to 46% of snow cover in different elevation zones during the considered time period, i.e., 2011 to 2040. The 4700 m to 5200 m elevation zone is the most affected area and the area higher than 5200 m is the least affected. Overall, however, it is clear from the analysis that seasonal snow in the Kaligandaki basin is likely to be subject to substantial changes due to the impact of climate change.</t>
  </si>
  <si>
    <t>; Mishra, Bhogendra/M-4771-2017</t>
  </si>
  <si>
    <t>Tripathi, Nitin/0000-0001-5618-2841; Mishra, Bhogendra/0000-0002-8998-8160; Babel, Mukand/0000-0003-4203-0059</t>
  </si>
  <si>
    <t>10.1007/s11629-014-2985-5</t>
  </si>
  <si>
    <t>WOS:000339377000001</t>
  </si>
  <si>
    <t>Zhang, Y; Huang, XD; Hao, XH; Wang, J; Wang, W; Liang, TG</t>
  </si>
  <si>
    <t>Zhang, Ying; Huang, Xiaodong; Hao, Xiaohua; Wang, Jie; Wang, Wei; Liang, Tiangang</t>
  </si>
  <si>
    <t>Fractional snow-cover mapping using an improved endmember extraction algorithm</t>
  </si>
  <si>
    <t>We describe and validate an improved endmember extraction method to improve the fractional snow-cover mapping based on the algorithm for fast autonomous spectral endmember determination (N-FINDR) maximizing volume iteration algorithm and orthogonal subspace projection theory. A spectral library time series is first established by choosing the expected spectra information using prior knowledge, and the fractional snow cover (FSC) is then retrieved by a fully constrained least squares linear spectral mixture analysis. The retrieved fractional snow-cover products are validated by the FSC derived from Landsat imagery. Our results indicate that the improved algorithm can obtain the endmember information accurately, and the retrieved FSC has better accuracy than the MODIS standard fractional snow-cover product (MOD10A1). (C) 2014 Society of Photo-Optical Instrumentation Engineers (SPIE)</t>
  </si>
  <si>
    <t>Huang, Xiaodong/GXN-4031-2022</t>
  </si>
  <si>
    <t>MAY 21</t>
  </si>
  <si>
    <t>10.1117/1.JRS.8.084691</t>
  </si>
  <si>
    <t>WOS:000338492300001</t>
  </si>
  <si>
    <t>Moosavi, V; Malekinezhad, H; Shirmohammadi, B</t>
  </si>
  <si>
    <t>Moosavi, Vahid; Malekinezhad, Hossein; Shirmohammadi, Bagher</t>
  </si>
  <si>
    <t>Fractional snow cover mapping from MODIS data using wavelet-artificial intelligence hybrid models</t>
  </si>
  <si>
    <t>This study was carried out to evaluate the wavelet-artificial intelligence hybrid models to produce fractional snow cover maps. At first, cloud cover was removed from MODIS data and cloud free images were produced. SVM-based binary classified ETM+ imagery were then used as reference maps in order to obtain train and test data for sub-pixel classification models. ANN and ANFIS-based modeling were performed using raw data (without wavelet-based preprocessing). In the next step, several mother wavelets and levels were used in order to decompose the original data to obtain wavelet coefficients. Then, the decomposed data were used for further modeling processes. ANN, ANFIS, wavelet-ANN and wavelet-ANFIS models were compared to evaluate the effect of wavelet transformation on the ability of artificial intelligence models. It was demonstrated that wavelet transformation as a preprocessing approach can significantly enhance the performance of ANN and ANFIS models. This study indicated an overall accuracy of 92.45% for wavelet-ANFIS model, 86.13% for wavelet-ANN, 72.23% for ANFIS model and 66.78% for ANN model. In fact, hybrid wavelet-artificial intelligence models can extract the characteristics of the original signals (i.e. model inputs) accurately through decomposing the non-stationary and complex signals into several stationary and simpler signals. The positive effect of fuzzification as well as wavelet transformation in the wavelet-ANFIS model was also confirmed. (c) 2014 Elsevier B.V. All rights reserved.</t>
  </si>
  <si>
    <t>Moosavi, Vahid/ABK-8145-2022; shirmohammadi, Bagher/GPF-4372-2022</t>
  </si>
  <si>
    <t>Moosavi, Vahid/0000-0002-4563-1178;</t>
  </si>
  <si>
    <t>APR 16</t>
  </si>
  <si>
    <t>10.1016/j.jhydrol.2014.01.015</t>
  </si>
  <si>
    <t>WOS:000335274900015</t>
  </si>
  <si>
    <t>Han, T; Wang, DW; Jiang, YY; Wang, XW</t>
  </si>
  <si>
    <t>Tian, J; Ma, J</t>
  </si>
  <si>
    <t>Han, Tao; Wang, Dawei; Jiang, Youyan; Wang, Xiaowei</t>
  </si>
  <si>
    <t>The Stepwise Discriminant Algorithm for Snow Cover Mapping based on FY-3/MERSI Data</t>
  </si>
  <si>
    <t>MIPPR 2013: REMOTE SENSING IMAGE PROCESSING, GEOGRAPHIC INFORMATION SYSTEMS, AND OTHER APPLICATIONS</t>
  </si>
  <si>
    <t>8th Symposium on Multispectral Image Processing and Pattern Recognition (MIPPR) - Remote Sensing Image Processing, Geographic Information Systems, and Other Applications</t>
  </si>
  <si>
    <t>OCT 26-27, 2013</t>
  </si>
  <si>
    <t>Wuhan, PEOPLES R CHINA</t>
  </si>
  <si>
    <t>SPIE,Huazhong Univ Sci &amp; Technol,Natl Key Lab Sci &amp; Technol Multi Spectral Informat Proc</t>
  </si>
  <si>
    <t>Medium Resolution Spectral Imager (MERSI) on board China's new generation polar orbit meteorological satellite FY-3A provides a new data source for snow monitoring in large area. As a case study, the typical snow cover of Qilian Mountains in northwest China was selected in this paper to develop the algorithm to map snow cover using FY-3A/MERSI. By analyzing the spectral response characteristics of snow and other surface elements, as well as each channel image quality on FY-3A/MERSI, the widely used Normalized Difference Snow Index (NDSI) was defined to be computed from channel 2 and channel 7 for this satellite data. Basing on NDSI, a tree-structure prototype version of snow identification model was proposed, including five newly-built multi-spectral indexes to remove those pixels such as forest, cloud shadow, water, lake ice, sand (salty land), or cloud that are usually confused with snow step by step, especially, a snow/cloud discrimination index was proposed to eliminate cloud, apart from use of cloud mask product in advance. Furthermore, land cover land use (LULC) image has been adopted as auxiliary dataset to adjust the corresponding LULC NDSI threshold constraints for snow final determination and optimization. This model is composed as the core of FY-3A/MERSI snow cover mapping flowchart, to produce daily snow map at 250m spatial resolution, and statistics can be generated on the extent and persistence of snow cover in each pixel for time series maps. Preliminary validation activities of our snow identification model have been undertaken. Comparisons of the 104 FY-3A/MERSI snow cover maps in 2010-2011 snow season with snow depth records from 16 meteorological stations in Qilian Mountains region, the sunny snow cover had an absolute accuracy of 92.8%. Results of the comparison with the snow cover identified from 6 Terra/MODIS scenes showed that they had consistent pixels about 85%. When the two satellite resultant snow cover maps compared with the 6 supervise-classified and expert-verified snow cover maps derived from integrated MERSI and MODIS images, we found FY-3A/MERSI has higher accuracy and stability not only for nearly cloud-free scenes but also the cloud scenes, namely, FY-3A/MERSI data can objectively reflect finer spatial distribution of snow and its dynamic development process, and the snow identification model perform better in snow/cloud discrimination. However, the ability of the FY-3A/MERSI model to discriminate thin snow and thin cloud need to be refined. And the limitation, error sources of FY-3A/MERSI snow products would be assessed based on the accumulation of large amounts of data in the future.</t>
  </si>
  <si>
    <t>978-0-8194-9806-9</t>
  </si>
  <si>
    <t>89210R</t>
  </si>
  <si>
    <t>10.1117/12.2031490</t>
  </si>
  <si>
    <t>WOS:000327588700027</t>
  </si>
  <si>
    <t>Santi, E; Fontanelli, G; Pettinato, S; Crepaz, A</t>
  </si>
  <si>
    <t>Santi, E.; Fontanelli, G.; Pettinato, S.; Crepaz, A.</t>
  </si>
  <si>
    <t>MONITORING OF SNOW COVER ON ITALIAN ALPS USING AMSR-E AND ARTIFICIAL NEURAL NETWORKS</t>
  </si>
  <si>
    <t>2012 IEEE INTERNATIONAL GEOSCIENCE AND REMOTE SENSING SYMPOSIUM (IGARSS)</t>
  </si>
  <si>
    <t>JUL 22-27, 2012</t>
  </si>
  <si>
    <t>Munich, GERMANY</t>
  </si>
  <si>
    <t>IEEE,IEEE Geosci &amp; Remote Sensing Soc,DLR,ESA</t>
  </si>
  <si>
    <t>This paper describes an algorithm for retrieving the snow depth from the data acquired by the microwave radiometers operating from space. The algorithm is based on Artificial Neural Network techniques and has been developed and tested using a large dataset of AMSR-E acquisitions and corresponding direct measurements of snow depth and air temperature collected over Siberia within the framework of the GCOM/AMSR2 mission. The algorithm has been subsequently applied to the AMSR-E acquisitions collected during the winter seasons between 2002 and 2011 on Alpine regions, setting up a procedure for evaluating and correcting the effects of the orography and the forest coverage.</t>
  </si>
  <si>
    <t>PETTINATO, SIMONE/H-6051-2019; santi, emanuele/A-7755-2013</t>
  </si>
  <si>
    <t>PETTINATO, SIMONE/0000-0002-3155-8918; santi, emanuele/0000-0003-1882-6321; Fontanelli, Giacomo/0000-0002-3790-8288</t>
  </si>
  <si>
    <t>978-1-4673-1159-5</t>
  </si>
  <si>
    <t>10.1109/IGARSS.2012.6351095</t>
  </si>
  <si>
    <t>WOS:000313189401195</t>
  </si>
  <si>
    <t>Sauter, T; Weitzenkamp, B; Schneider, C</t>
  </si>
  <si>
    <t>Sauter, Tobias; Weitzenkamp, Bjoern; Schneider, Christoph</t>
  </si>
  <si>
    <t>Spatio-temporal prediction of snow cover in the Black Forest mountain range using remote sensing and a recurrent neural network</t>
  </si>
  <si>
    <t>INTERNATIONAL JOURNAL OF CLIMATOLOGY</t>
  </si>
  <si>
    <t>Winter tourism is the main economic factor for many different regions in the German Mountain Range. Owing to warming trends experienced in the past and predicted for the future, precise knowledge about the development of snow cover and snow duration in the future is becoming more and more important. On the basis of the International Panel on Climate Change (IPCC) A1B scenario, this paper investigates the possible regional development of snow cover and snow duration in the Black Forest in southwest Germany until 2050. For this purpose, we developed a new method that combines Non-linear AutoRegressive networks with eXogenous inputs (NARX) with Remote Sensing and Geographic Information System (GIS). With this non-parametric approach, we try to define with preferably high accuracy a simple transferable model. Besides the general problem of developing a robust statistical model, our main focus is on the enhancement of the spatial resolution of snow patterns by incorporating complex structures of the underlying terrain using Moderate Resolution Imaging Spectroradiometer (MODIS) satellite data. The results suggest a possible decrease in the number of snow days (snow cover &gt;= 10 cm) in the decade 2041-2050 by 10 to 44% at altitudes higher than 1200 m, by 17 to 57% at 1000-1200 m and 25 to 66% at 500-1000 m. This results in a dramatic shortening of the snow season mainly caused by earlier snow melt initiation rather than by later first snow precipitation in autumn. These considerable changes in the snow season would cause enormous losses in the skiing and tourism industries. In this context, the obtained high-resolution snow data and maps can provide a useful tool and decision-making aid for the economy and politics. Copyright (C) 2009 Royal Meteorological Society</t>
  </si>
  <si>
    <t>Sauter, Tobias/HSD-8208-2023; Schneider, Christoph/V-2150-2017</t>
  </si>
  <si>
    <t>Sauter, Tobias/0000-0002-2232-8096; Schneider, Christoph/0000-0002-9914-3217</t>
  </si>
  <si>
    <t>0899-8418</t>
  </si>
  <si>
    <t>1097-0088</t>
  </si>
  <si>
    <t>10.1002/joc.2043</t>
  </si>
  <si>
    <t>WOS:000285307100008</t>
  </si>
  <si>
    <t>Farmer, CJQ; Nelson, TA; Wulder, MA; Derksen, C</t>
  </si>
  <si>
    <t>Farmer, C. J. Q.; Nelson, T. A.; Wulder, M. A.; Derksen, C.</t>
  </si>
  <si>
    <t>Identification of snow cover regimes through spatial and temporal clustering of satellite microwave brightness temperatures</t>
  </si>
  <si>
    <t>Areas of similar ecology are often delineated based on homogenous topography, temperature, and land cover. Once delineated, these zones become the basis for a wide variety of scientific research and management activities. For instance, in Canada, ecozones are commonly utilized ecological management units delineated using geographic, topographic, and climatic information aided by spring and summer vegetation conditions. Snow cover has an influence on local and regional hydrological conditions and climate, as well as on animal habitats. As such, we posit that inclusion of winter conditions, incorporating spatial- and temporal-variation in snow cover is an additional element for consideration when delineating areas with homogenous conditions. In our analysis we use satellite passive microwave brightness temperatures from 19 years of Special Sensor Microwave/Imager (SSM/I) measurements to produce a daily time-series on snow cover, and demonstrate how these data can be used to delineate areas of similar winter conditions. We use splines and curve fitting to generalize the dense time-series (of over 6900 days) to a set of metrics, and select three for use in cluster-based generalization of snow cover regimes: annual maximum difference between 37 and 19 GHz SSM/I measurements (with differences in magnitudes indicative of snow accumulation), variation of 37-19 GHz brightness temperatures (indicative of snow cover variability), and variation in the rate of brightness temperature change during the snow melt season (indicative of seasonal change). Our results indicate that these metrics produce spatial units that are unique, and not captured by conventional ecological management units, while also producing spatial units that cohere to those generated from summer conditions. Spatial units that are found to have spatial cohesion between summer and winter data sources are located in regions where the amount of snow tends to be low, and snow cover variability minimal. We propose that snow cover regimes may be used to augment typical vegetation-based ecological zonations or to provide insights on hydrology and animal habitat conditions. Inclusion of winter conditions is especially important when areal delineations are used to monitor impacts of climate change, and as a baseline for monitoring changes in snow cover amount, extent, and/or distribution. (C) 2009 Elsevier Inc. All rights reserved.</t>
  </si>
  <si>
    <t>; Derksen, Chris/S-9828-2017; Wulder, Michael/J-5597-2016</t>
  </si>
  <si>
    <t>Farmer, Carson/0000-0003-1643-5976; Derksen, Chris/0000-0001-6821-5479; Wulder, Michael/0000-0002-6942-1896; Nelson, Trisalyn/0000-0003-2537-6971</t>
  </si>
  <si>
    <t>JAN 15</t>
  </si>
  <si>
    <t>10.1016/j.rse.2009.09.002</t>
  </si>
  <si>
    <t>WOS:000271688700015</t>
  </si>
  <si>
    <t>Tong, JJ; Déry, SJ; Jackson, PL; Derksen, C</t>
  </si>
  <si>
    <t>Tong, Jinjun; Dery, Stephen J.; Jackson, Peter L.; Derksen, Chris</t>
  </si>
  <si>
    <t>Testing snow water equivalent retrieval algorithms for passive microwave remote sensing in an alpine watershed of western Canada</t>
  </si>
  <si>
    <t>CANADIAN JOURNAL OF REMOTE SENSING</t>
  </si>
  <si>
    <t>Brightness temperatures (TBs) from the special sensor microwave imager (SSM/I) and advanced microwave scanning radiometer (AMSR-E) from 2003 to 2007 are utilized to retrieve and evaluate the snow water equivalent (SWE) over the complex terrain of the Quesnel River Basin (QRB), British Columbia, Canada. Various algorithms including the Environment Canada (EC) algorithms, the spectral polarization difference (SPD) algorithm, and an artificial neural network (ANN) for both SSM/I and AMSR-E are evaluated against in situ SWE observations using several statistical metrics. The results show that the EC algorithms developed specifically for the southern prairies and boreal forest perform poorly across the complex topography and generally deep snow of the QRB. For other frequency combinations of SSM/I and AMSR-E measurements, significant relationships between TB difference and in situ SWE exist only when the snow accumulation is less than a threshold of 250 or 400 mm, which varies at the different in situ stations. Overall, AMSR-E provides better estimates of retrieved SWE than SSM/I. Compared to the algorithms based on TB difference, the ANNs for SSM/I and AMSR-E perform much better. The ANNs trained with all channels of AMSR-E have the best performance in fitting SWE and are able to resolve the temporal variations of SWE at all in situ stations. However, due to the complexity of the topography and vegetation in this mountainous watershed, the ANNs based only on limited in situ stations are not able to retrieve the spatial variations of SWE in this area.</t>
  </si>
  <si>
    <t>Jackson, Peter/I-1994-2013; Derksen, Chris/S-9828-2017</t>
  </si>
  <si>
    <t>Derksen, Chris/0000-0001-6821-5479</t>
  </si>
  <si>
    <t>0703-8992</t>
  </si>
  <si>
    <t>1712-7971</t>
  </si>
  <si>
    <t>S74</t>
  </si>
  <si>
    <t>S86</t>
  </si>
  <si>
    <t>10.5589/m10-009</t>
  </si>
  <si>
    <t>WOS:000282371000007</t>
  </si>
  <si>
    <t>Whitesides, CJ; Connolly, MH; Arbogast, JD</t>
  </si>
  <si>
    <t>Lee, J</t>
  </si>
  <si>
    <t>Whitesides, Clayton J.; Connolly, Matthew H.; Arbogast, Jason D.</t>
  </si>
  <si>
    <t>PREDICTING FRACTIONAL SNOW COVER</t>
  </si>
  <si>
    <t>PAPERS OF THE APPLIED GEOGRAPHY CONFERENCES, VOL 33</t>
  </si>
  <si>
    <t>Applied Geography Conference</t>
  </si>
  <si>
    <t>OCT 20-23, 2010</t>
  </si>
  <si>
    <t>Ft Worth, TX</t>
  </si>
  <si>
    <t>Texas Christian Univ,Texas State Univ San Marcos,Binghamton Univ,George Mason Univ,E Carolina Univ</t>
  </si>
  <si>
    <t>WOS:000392561300006</t>
  </si>
  <si>
    <t>Macchiavello, G; Moser, G; Boni, G; Serpico, SB</t>
  </si>
  <si>
    <t>Macchiavello, Giorgia; Moser, Gabriele; Boni, Giorgio; Serpico, Sebastiano B.</t>
  </si>
  <si>
    <t>AUTOMATIC UNSUPERVISED CLASSIFICATION OF SNOW-COVERED AREAS BY DECISION-TREE CLASSIFICATION AND MINIMUM-ERROR THRESHOLDING</t>
  </si>
  <si>
    <t>2009 IEEE INTERNATIONAL GEOSCIENCE AND REMOTE SENSING SYMPOSIUM, VOLS 1-5</t>
  </si>
  <si>
    <t>IEEE International Geoscience and Remote Sensing Symposium</t>
  </si>
  <si>
    <t>JUL 12-17, 2009</t>
  </si>
  <si>
    <t>Cape Town, SOUTH AFRICA</t>
  </si>
  <si>
    <t>The problem of the classification of snow-covered areas from multispectral images is addressed in this paper The key idea of the proposed technique is to integrate a decision tree classifier (DTC) and a Bayesian unsupervised thresholding algorithm, aiming at a complete automation of the classification process Given a classification problem, the DTC approach decomposes the problem in a suitable tree-structured collection of binary sub-problems, for which simple (e g., threshold-based) decision rules can be defined. The proposed strategy, by adopting the tree classification, discriminates several snow-covered and non-snow-covered classes, by decomposing the related multi-class problem into a set of binary thresholding sub-problems involving the multispectral channels and the resulting normalized difference vegetation index and normalized difference snow index Focusing on a critical node in the tree, a Bayesian approach is used to expresses the threshold-selection problem as the minimization of a functional related to the probability of classification error. Experiments are reported on MODIS data</t>
  </si>
  <si>
    <t>Boni, Giorgio/AAD-6133-2021</t>
  </si>
  <si>
    <t>Boni, Giorgio/0000-0002-8255-9312; Moser, Gabriele/0000-0002-3796-2938</t>
  </si>
  <si>
    <t>978-1-4244-3394-0</t>
  </si>
  <si>
    <t>+</t>
  </si>
  <si>
    <t>10.1109/IGARSS.2009.5418270</t>
  </si>
  <si>
    <t>WOS:000281054100317</t>
  </si>
  <si>
    <t>Evora, ND; Tapsoba, D; De Seve, D</t>
  </si>
  <si>
    <t>Evora, Noel Dacruz; Tapsoba, Dominique; De Seve, Danielle</t>
  </si>
  <si>
    <t>Combining artificial neural network models, geostatistics, and passive microwave data for snow water equivalent retrieval and mapping</t>
  </si>
  <si>
    <t>A new modeling framework combining neural-network-based models, passive microwave data, and geostatistics is proposed for snow water equivalent (SWE) retrieval and mapping. Brightness temperature data from the seven-channel Special Sensor Microwave/Imager and the interpolated minimum temperature are the inputs of a multilayer feedforward neural network (MFF). Kriging with an External Drift algorithm is applied to ground-based SWE data to produce gridded SWE data that are used as the target of the neural network. An optimal division of the sample of available pixels is achieved by a self-organizing feature map. Prediction error is used for model selection and is assessed by bootstrap. It is shown that a committee of a network containing neural networks with different architectures can provide consistent SWE retrievals. This modeling framework is applied for SWE retrieval and mapping over La Grande River basin in north eastern Quebec (Canada). The results are very promising for operational purposes particularly for SWE mapping during periods with no ground measurements and operational streamflow forecasting.</t>
  </si>
  <si>
    <t>10.1109/TGRS.2008.916632</t>
  </si>
  <si>
    <t>WOS:000257285200005</t>
  </si>
  <si>
    <t>Azar, AE; Ghedira, H; Lakhankar, T; Khanbilvardi, R</t>
  </si>
  <si>
    <t>Azar, Amir E.; Ghedira, H.; Lakhankar, T.; Khanbilvardi, R.</t>
  </si>
  <si>
    <t>Improvement in estimating snowpack properties with SSM/I data and land cover using artificial neural networks</t>
  </si>
  <si>
    <t>2006 IEEE MICRORAD</t>
  </si>
  <si>
    <t>9th Specialist Meeting on Microwave Radiometry and Remote Sensing Applications (MicroRad 2006)</t>
  </si>
  <si>
    <t>FEB 28-MAR 03, 2006</t>
  </si>
  <si>
    <t>San Juan, PR</t>
  </si>
  <si>
    <t>The goal of this study is to develop an algorithm to estimate Snow Water Equivalent (SWE) in Great Lakes area based on a three year time series of SSM/I data along with corresponding ground truth data. An assortment of SSM/I EASE-GRID pixels was selected for time series analysis. The pixels were selected based on the amount of snow, latitude, and land cover. Two types of ground truth data were used: 1- Point-based snow depth observations from NCDC; 2- Grid based SNODAS-SWE dataset, produced by NOHRSC. To account for land cover variation in a quantitative way a NDVI was used. To do the time series analysis, three scattering signatures of GTVN (19V-37V), GTH (1911-37H), and SSI (22V-85V) were derived. The analysis shows at lower latitudes of the study area there is no correlation between GTH and GTVN vs snow depth. On the other hand SSI shows an average correlation of 75 percent with snow depth in lower latitudes makes it suitable for shallow snow. In model development a multi-linear algorithm was defined to estimate SWE using NDVI values along with the location of the pixels as classification criteria. The results show up to 60 percent correlation between estimated and ground truth SWE.</t>
  </si>
  <si>
    <t>; Lakhankar, Tarendra/F-9490-2011</t>
  </si>
  <si>
    <t>Ghedira, Hosni/0000-0001-5882-289X;</t>
  </si>
  <si>
    <t>978-0-7803-9417-9</t>
  </si>
  <si>
    <t>10.1109/MICRAD.2006.1677080</t>
  </si>
  <si>
    <t>WOS:000245203200029</t>
  </si>
  <si>
    <t>Brogioni, M; Macelloni, G; Paloscia, S; Pampaloni, P; Pettinato, S; Santi, E</t>
  </si>
  <si>
    <t>Brogioni, M.; Macelloni, G.; Paloscia, S.; Pampaloni, P.; Pettinato, S.; Santi, E.</t>
  </si>
  <si>
    <t>Estimating Snow water equivalent from satellite passive and active microwave sensors</t>
  </si>
  <si>
    <t>2006 IEEE INTERNATIONAL GEOSCIENCE AND REMOTE SENSING SYMPOSIUM, VOLS 1-8</t>
  </si>
  <si>
    <t>JUL 31-AUG 04, 2006</t>
  </si>
  <si>
    <t>Denver, CO</t>
  </si>
  <si>
    <t>IEEE,IEEE Geosci &amp; Remote Sensing Soc,Canadian Remote Sensing Soc,NASA,NOAA,Off Naval Res,Natl Polar Orbiting Operat Environm Satellite Syst,Japan Aerosp Explorat Agcy,Ball Aerosp &amp; Technologies Corp,Cooperat Inst Res Atmosphere,Colorado State Univ,Univ Colorado,Int Union Radio Sci</t>
  </si>
  <si>
    <t>Snow water equivalent (SWE) and snow depth (SD) are essential snow parameters for various end-use applications. In this paper, the synergy of active and passive microwave sensors in the retrieval of SWE trough an inversion algorithm based on the Artificial Neural Networks is evaluated. The performed analysis has demonstrated that a multi-sensor algorithm based on a Neural Network is efficient in retrieving SWE/SD on large areas. However, the contribution of the active sensor is not very significant when a comparable frequency is available from the radiometric sensor, like as the case of the AMSR-E. Conversely, the use of Ku band scatterometer data would be helpful in synergy with radiometric data if SSM/I data only are available.</t>
  </si>
  <si>
    <t>santi, emanuele/A-7755-2013; Brogioni, Marco/B-7522-2015; paloscia, simonetta/AAK-9186-2021; MACELLONI, GIOVANNI/B-7518-2015; PETTINATO, SIMONE/H-6051-2019</t>
  </si>
  <si>
    <t>santi, emanuele/0000-0003-1882-6321; Brogioni, Marco/0000-0001-6232-6020; paloscia, simonetta/0000-0003-3414-4531; MACELLONI, GIOVANNI/0000-0002-9738-7939; PETTINATO, SIMONE/0000-0002-3155-8918</t>
  </si>
  <si>
    <t>978-0-7803-9509-1</t>
  </si>
  <si>
    <t>10.1109/IGARSS.2006.937</t>
  </si>
  <si>
    <t>WOS:000260989402123</t>
  </si>
  <si>
    <t>Pulliainen, J; Kärnä, JP; Hallikainen, M; Luojus, K; Metsämäki, S; Huttunen, M; Anttila, S</t>
  </si>
  <si>
    <t>Pulliainen, Jouni; Karna, Juha-Petri; Hallikainen, Martti; Luojus, Kari; Metsamaki, Sari; Huttunen, Markus; Anttila, Saku</t>
  </si>
  <si>
    <t>Mapping of snow water equivalent and snow coverage from combined EO and in situ data for climatic studies and hydrological forecasting models</t>
  </si>
  <si>
    <t>In formation on physical snow cover characteristics, such as snow water equivalent (SWE) and the areal coverage fraction of snow covered area (SCA), can be obtained from space-borne remote sensing data. The feasible instruments include optical spectrometers and microwave radars (SCA mapping), and microwave radiometers (SWE mapping). As data assimilation techniques are applied, the EO data-derived information can improve the performance of river discharge forecasting models and the knowledge on snow climatology. The results discussed here indicate that the assimilation of EO databased SCA estimates to hydrological modeling significantly improves the accuracy of operational river discharge forecasts. The results also indicate that the employment of space-borne microwave radiometer data using the data assimilation technique improves the SWE or snow depth mapping accuracy when compared with the use of values interpolated from synoptic observations.</t>
  </si>
  <si>
    <t>Hallikainen, Martti/A-4201-2011; Pulliainen, Jouni/Y-4810-2019; Metsämäki, Sari/AAX-5850-2021; Luojus, Kari/AAO-7912-2020</t>
  </si>
  <si>
    <t>Pulliainen, Jouni/0000-0003-1157-2920; Metsämäki, Sari/0000-0002-9633-4376; Luojus, Kari/0000-0002-4066-6005; Anttila, Saku/0000-0001-7013-9575</t>
  </si>
  <si>
    <t>10.1109/IGARSS.2006.442</t>
  </si>
  <si>
    <t>WOS:000260989401034</t>
  </si>
  <si>
    <t>Solberg, R</t>
  </si>
  <si>
    <t>Model-driven retrieval of fractional snow cover area</t>
  </si>
  <si>
    <t>IGARSS 2005: IEEE International Geoscience and Remote Sensing Symposium, Vols 1-8, Proceedings</t>
  </si>
  <si>
    <t>25th IEEE International Geoscience and Remote Sensing Symposium (IGARSS 2005)</t>
  </si>
  <si>
    <t>JUL 25-29, 2005</t>
  </si>
  <si>
    <t>Seoul, SOUTH KOREA</t>
  </si>
  <si>
    <t>IEEE,IEEE Geosci &amp; Remote Sensing Soc,NASA,NOAA,USN Off Res,Japan Aerosp Explorat Agcy,Natl Polar orbiting Operat Environm Satellite Syst,Ball Aerosp &amp; Technologies Corp,Int Union Radio Sci,Elect &amp; Telecommun Res Inst,Korea Sci &amp; Engn Fdn,Korea Natl Tourism Org,Korea Telecommun</t>
  </si>
  <si>
    <t>Operational snow cover mapping by optical sensors has taken place for more than two decades, but there is still a demand for improved mapping accuracy. Most operational products are binary (snow/no-snow). In the work presented here, a new approach has been taken to achieve significant improvements in the accuracy. Current spectral BRDF characteristics of the snow and snow-free ground are modeled locally, per pixel. Spatial functions for these characteristics are established for the region to monitor. The approach opens for snow mapping combining several different sensors independently. It is a solution to the needs for long-term climate monitoring where inter-sensor calibration and introduction of new generations of sensors make it difficult achieving time consistency in the mapping. The method is currently under validation in mountain regions in Norway.</t>
  </si>
  <si>
    <t>0-7803-9050-4</t>
  </si>
  <si>
    <t>WOS:000237237602115</t>
  </si>
  <si>
    <t>Koenig, LS; Forster, RR</t>
  </si>
  <si>
    <t>Evaluation of passive microwave snow water equivalent algorithms in the depth hoar-dominated snowpack of the Kuparuk River Watershed, Alaska, USA</t>
  </si>
  <si>
    <t>This research investigates the utility of passive microwave remote sensing instruments to accurately determine snow water equivalent (SWE) over large spatial extents. Three existing Special Sensor Microwave Imager (SSM/I) snow water equivalent algorithms produced by Chang, Tait and Goodison were evaluated for their ability to determine snow water equivalent in a snowpack containing substantial depth hoar, large faceted snow crystals. The Kuparuk River Watershed (8140 km(2)) test site on the North Slope of Alaska was chosen for its snowpack containing a think depth hoar layer and long history of ground truth data. A new regional snow water equivalent algorithm was developed to determine if it could produce better results than the existing algorithms in an area known to contain significant depth hoar. The four algorithms were tested to see how well they could determine snow water equivalent: (1) on a per pixel basis, (2) across swath-averaged spatial bands of approximately 850 km(2), and (3) on a watershed scale. The algorithms were evaluated to see if they captured the annual spatial distribution in snow water equivalent over the watershed. Results show that the algorithms developed by Chang and from this research are generally within 3 cm of the spatially averaged snow water equivalents over the entire watershed. The algorithms produced by Chang, Tait, and in this research were able to predict the basin-wide ground measured snow water equivalent value within a percent error range from -32.4% to 24.4% in the years with a typical snowpack. None of the algorithms produce accurate results on a pixel-by-pixel scale, with errors ranging from -26% to 308%. (C) 2004 Elsevier Inc. All rights reserved.</t>
  </si>
  <si>
    <t>/D-4459-2012</t>
  </si>
  <si>
    <t>10.1016/j.rse.2004.08.004</t>
  </si>
  <si>
    <t>WOS:000225361100005</t>
  </si>
  <si>
    <t>Tedesco, M; Pulliainen, J; Takala, M; Hallikainen, M; Pampaloni, P</t>
  </si>
  <si>
    <t>Artificial neural network-based techniques for the retrieval of SWE and snow depth from SSM/I data</t>
  </si>
  <si>
    <t>The retrieval of snow water equivalent (SWE) and snow depth is performed by inverting Special Sensor Microwave Imager (SSM/I) brightness temperatures at 19 and 37 GHz using artificial neural network ANN-based techniques. The SSM/I used data, which consist of Pathfinder Daily EASE-Grid brightness temperatures, were supplied by the National Snow and Ice Data Centre (NSIDC). They were gathered during the period of time included between the beginning of 1996 and the end of 1999 all over Finland. A ground snow data set based on observations of the Finnish Environment Institute (SYKE) and the Finnish Meteorological Institute (FMI) was used to estimate the performances of the technique. The ANN results were confronted with those obtained using the spectral polarization difference (SPD) algorithm, the HUT model-based iterative inversion and the Chang algorithm, by comparing the RMSE, the R-2, and the regression coefficients. In general, it was observed that the results obtained through ANN-based technique are better than, or comparable to, those obtained through other approaches, when trained with simulated data. Performances were very good when the ANN were trained with experimental data. (C) 2004 Elsevier Inc. All rights reserved.</t>
  </si>
  <si>
    <t>/F-7986-2015; Pulliainen, Jouni/Y-4810-2019; Hallikainen, Martti/A-4201-2011</t>
  </si>
  <si>
    <t>Takala, Matias/0000-0003-2083-2528; Pulliainen, Jouni/0000-0003-1157-2920;</t>
  </si>
  <si>
    <t>10.1016/j.rse.2003.12.002</t>
  </si>
  <si>
    <t>WOS:000189234300006</t>
  </si>
  <si>
    <t>Takala, M; Pulliainen, J; Huttunen, M; Hallikainen, M</t>
  </si>
  <si>
    <t>Lahdes, M</t>
  </si>
  <si>
    <t>Snow melt detection using neural networks</t>
  </si>
  <si>
    <t>URSI/IEEE XXIX CONVENTION ON RADIO SCIENCE</t>
  </si>
  <si>
    <t>VTT SYMPOSIA</t>
  </si>
  <si>
    <t>29th URSI Convention on Radio Science</t>
  </si>
  <si>
    <t>NOV 01-02, 2004</t>
  </si>
  <si>
    <t>Espoo, FINLAND</t>
  </si>
  <si>
    <t>Finnish Natl Comm URSI,Finland IEEE Sect,VTT Informat Technol</t>
  </si>
  <si>
    <t>The authors of this paper have developed earlier a simple model called CDA (Channel Difference Algorithm) to estimate the beginning of snow melt. A new algorithm using a an artificial neural network called Self Organizing Map (SOM) is constructed. The name of the new algorithm is SDA (SOM Detection Algorithm). The new algorithm is tested using SSM/I data and hydrological predictions are used as reference data, which covers years 1997 and 1998 and represents the boreal forest zone in Finland. In this paper preliminary results from the SDA are presented. The detection results are promising.</t>
  </si>
  <si>
    <t>Hallikainen, Martti/A-4201-2011; Pulliainen, Jouni/Y-4810-2019</t>
  </si>
  <si>
    <t>0357-9387</t>
  </si>
  <si>
    <t>951-38-6295-X</t>
  </si>
  <si>
    <t>WOS:000226851200032</t>
  </si>
  <si>
    <t>Derksen, C; Walker, A; LeDrew, E; Goodison, B</t>
  </si>
  <si>
    <t>Combining SMMR and SSM/I data for time series analysis of Central North American snow water equivalent</t>
  </si>
  <si>
    <t>When Special Sensor Microwave Imager (SSM/I) and Scanning Multichannel Microwave Radiometer (SMMR) data are combined, the time series of dual-polarized, multichannel, spaceborne passive microwave brightness temperatures extends from 1978 to the present. The Meteorological Service of Canada ( MSC) has developed operational snow water equivalent (SWE) retrieval algorithms for western Canada that have been applied to both SMMR and SSM/I data. Climatological research questions that demand a time series of significant length can now be addressed with passive microwave-derived datasets of this nature. Attention must be given, however, to the impact of the slightly different spatial, temporal, and radiometric characteristics between the SMMR and SSM/I data on SWE algorithm performance and, therefore, time series continuity and consistency. In this study, potential bias on SWE retrieval with the MSC algorithms caused by differences between the SMMR and SSM/I sensors is assessed with a series of comparative tests. First, nine winter seasons of SMMR (1978/79-1986/87) and nine winter seasons of SSM/I (1987/88-1995/96) derived SWE estimates are compared to a distributed network of in situ measurements taken from the MSC digital archive of Canadian station data. No mean error bias between the two sensors is found-in some locations the microwave SWE estimates are more accurate during the SMMR years, while for other locations the SSM/I estimates are more accurate. Second, a pentad ( 5 day) resolution SWE anomaly time series for central North America has been produced for the winter seasons spanning 1978 through 1999. A general anomaly shift between sensors is apparent, with the SMMR seasons containing largely negative SWE anomalies, and SSM/I years containing largely positive anomalies. This trend is confirmed by a difference of means test applied to each winter season pentad, which isolates statistically significant SWE differences between the two time series, with SWE during SSM/I seasons always exceeding SWE retrieved during SMMR seasons. Finally, a principal components analysis (PCA) of the SMMR and SSM/I time series is used to identify any shift in the dominant winter season spatial modes of SWE for central North America. The PCA results also illustrate that the SSM/I time series is characterized by distributions of higher SWE values compared to the SMMR years. The important issue is whether the difference in derived SWE between sensors is induced by climatological factors or algorithm performance.</t>
  </si>
  <si>
    <t>Derksen, Chris/S-9828-2017</t>
  </si>
  <si>
    <t>10.1175/1525-7541(2003)4&lt;304:CSAIDF&gt;2.0.CO;2</t>
  </si>
  <si>
    <t>WOS:000182276800011</t>
  </si>
  <si>
    <t>Matheussen, BV; Thorolfsson, ST</t>
  </si>
  <si>
    <t>Estimation of snow covered area for an urban catchment using image processing and neural networks</t>
  </si>
  <si>
    <t>WATER SCIENCE AND TECHNOLOGY</t>
  </si>
  <si>
    <t>International Conference on Urban Drainage and Highway Run-Off in Cold Climates</t>
  </si>
  <si>
    <t>MAR 25-27, 2003</t>
  </si>
  <si>
    <t>LULEA, SWEDEN</t>
  </si>
  <si>
    <t>This paper presents a method to estimate the snow covered area (SCA) for small urban catchments. The method uses images taken with a digital camera positioned on top of a tall building. The camera is stationary and takes overview images of the same area every fifteen minutes throughout the winter season. The images were read into an image-processing program and a three-layered feed-forward perceptron artificial neural network (ANN) was used to calculate fractional snow cover within three different land cover types (road, park and roofs). The SCA was estimated from the number of pixels with snow cover relative to the total number of pixels. The method was tested for a small urban catchment, Risvollan in Trondheim, Norway. A time series of images taken during spring of 2001 and the 2001-2002 winter season was used to generate a time series of SCA. Snow covered area was also estimated from aerial photos. The results showed a strong correlation between SCA estimated from the digital camera and the aerial photos. The time series of SCA can be used for verification of urban snowmelt models.</t>
  </si>
  <si>
    <t>0273-1223</t>
  </si>
  <si>
    <t>10.2166/wst.2003.0515</t>
  </si>
  <si>
    <t>WOS:000187915400016</t>
  </si>
  <si>
    <t>Guo, JJ; Tsang, L; Josberger, E; Hwang, JN</t>
  </si>
  <si>
    <t>IEEE; IEEE; IEEE</t>
  </si>
  <si>
    <t>Mapping the spatial distribution and time evolution of snow water equivalent with passive microwave measurements</t>
  </si>
  <si>
    <t>IGARSS 2002: IEEE INTERNATIONAL GEOSCIENCE AND REMOTE SENSING SYMPOSIUM AND 24TH CANADIAN SYMPOSIUM ON REMOTE SENSING, VOLS I-VI, PROCEEDINGS: REMOTE SENSING: INTEGRATING OUR VIEW OF THE PLANET</t>
  </si>
  <si>
    <t>IEEE International Geoscience and Remote Sensing Symposium (IGARSS 2002)/24th Canadian Symposium on Remote Sensing</t>
  </si>
  <si>
    <t>JUN 24-28, 2002</t>
  </si>
  <si>
    <t>TORONTO, CANADA</t>
  </si>
  <si>
    <t>IEEE,IEEE, Geosci &amp; Remote Sensing Soc,Canadian Remote Sensing Soc,Univ Waterloo,Natl Resouces Candad,Canadian Space Agcy,Environm Canada,Natl Aeronaut &amp; Space Adm,Natl Ocean &amp; Atmospher Adm,Off Naval Res,Natl Space Dev Agcy Japan,Natl Polar-Orbit Environm Satellite Syst,Ball Aerosp &amp; Technol,Int Union Radio Sci</t>
  </si>
  <si>
    <t>This paper presents an algorithm that estimates the spatial distribution as well as temporal evolution of snow water equivalent and snow depth based on passive remote sensing measurements. It combines the inversion of passive microwave remote sensing measurements with snow accumulation and melt model predictions to yield improved estimates of snow depth and snow water equivalent, at a pixel resolution of 10km. In the inversion, snow grain size evolution is constrained based on pattern matching by using the local snow temperature history. This algorithm is applied to produce spatial snow map of Upper Rio Grande basin in Colorado. The simulation result of this algorithm is compared with that of snow hydrology model and linear regression method. The comparison with the ground truth measurements from 4 SNOwpack TELemetry (SNOTEL) sites in the basin shows that this algorithm is able to improve the estimates of snow depth and snow water equivalent.</t>
  </si>
  <si>
    <t>0-7803-7536-X</t>
  </si>
  <si>
    <t>WOS:000179116800150</t>
  </si>
  <si>
    <t>Simpson, JJ; McIntire, TJ</t>
  </si>
  <si>
    <t>A recurrent neural network classifier for improved retrievals of areal extent of snow cover</t>
  </si>
  <si>
    <t>Accurate detection of areal extent of snow in mountainous regions is important. Areal extent of snow is a useful climatic indicator. Moreover, snow melt is a major source of water supply for many and regions (e.g., western United States, Morocco) and affects regional ecosystems. Unfortunately, accurate satellite retrievals of areal extent of snow have been difficult to achieve. Two approaches to effectively and accurately detect clear land, cloud, and areal extent of snow in satellite data are developed. A feed-forward neural network (FFNN) is used to classify individual images, and a recurrent NN is used to classify sequences of images. The continuous outputs of the NN, combined with a linear mixing model, provide support for mixed-pixeI classification. Validation with independent in situ data confirms the classification accuracy (94% for feed-forward NN, 97% for recurrent NN). The combination of rapid temporal sampling (e.g., GOES) and a recurrent NN classifier is recommended (relative to an isolated scene (e.g., AVHRR) and a feed-forward NN classifier).</t>
  </si>
  <si>
    <t>10.1109/36.957276</t>
  </si>
  <si>
    <t>WOS:000171680400005</t>
  </si>
  <si>
    <t>Chen, CT; Nijssen, B; Guo, JJ; Tsang, L; Wood, AW; Hwang, JN; Lettenmaier, DP</t>
  </si>
  <si>
    <t>Passive microwave remote sensing of snow constrained by hydrological simulations</t>
  </si>
  <si>
    <t>This paper describes a snow parameter retrieval algorithm from passive microwave remote sensing measurements. The three components of the retrieval algorithm include a dense media radiative transfer (DMRT) model, which is based on the quasicrystalline approximation (QCA) with the sticky particle assumption, a physically-based snow hydrology model (SHM) that incorporates meteorological and topographical data, and a neural network (NN) for computational efficient inversions. The DMRT model relates physical snow parameters to brightness temperatures. The SHM simulates the mass and heat balance and provides initial guesses for the neural network. The NN is used to speed up the inversion of parameters. The retrieval algorithm can provide speedy parameter retrievals for desired temporal and spatial resolutions. Four channels of brightness temperature measurements: 19V, 19H, 37V, and 37H are used. The algorithm was applied to stations in the northern hemisphere. Two sets of results are shown. For these cases, we use ground-truth precipitation data, and estimates of snow water equivalent (SWE) from SEM give good results. For the second set, a weather forecast model is used to provide precipitation inputs for SHM. Additional constraints in grain size and density are used. We show that inversion results compare favorably with ground truth observations.</t>
  </si>
  <si>
    <t>Wood, Andrew/L-5133-2013; Nijssen, Bart/B-1013-2012; lettenmaier, dennis/F-8780-2011</t>
  </si>
  <si>
    <t>Wood, Andrew/0000-0002-6231-0085; Nijssen, Bart/0000-0002-4062-0322;</t>
  </si>
  <si>
    <t>10.1109/36.942553</t>
  </si>
  <si>
    <t>WOS:000170682500015</t>
  </si>
  <si>
    <t>Chen, CT; Tsang, L; Wood, A; Guo, JJ</t>
  </si>
  <si>
    <t>Passive microwave remote sensing of snow parameters constrained by snow hydrology model and snow grain size growth</t>
  </si>
  <si>
    <t>IGARSS 2000: IEEE 2000 INTERNATIONAL GEOSCIENCE AND REMOTE SENSING SYMPOSIUM, VOL I - VI, PROCEEDINGS</t>
  </si>
  <si>
    <t>JUL 24-28, 2000</t>
  </si>
  <si>
    <t>HONOLULU, HI</t>
  </si>
  <si>
    <t>IEEE,IEEE Geosci &amp; Remote Sensing Soc,NASA,NOAA,USN, Off Res,Nat Resources Canada,Canadian Space Agcy,Natl Space Dev Agcy Japan,Int Union Radio Sci</t>
  </si>
  <si>
    <t>To predict the snow parameters using passive microwave remote sensing, such as snow depth or snow water equivalent, is an important issue in the geoscience problems. The retrieval is a complicated task because the remote sensing measurements are affected by multiple snow parameters. There are three major components in our parameter retrieval algorithm - a dense media radiative transfer (DMRT) model which is based on the quasi-crystalline approximation (QCA) and the sticky particle model, a physically based snow hydrology model (SHM) and a neural network (NN) for speedy retrievals. The retrieval algorithm is applied to stations over the Northern Hemisphere and the results compare favorably with the ground truth measurements.</t>
  </si>
  <si>
    <t>Wood, Andrew/L-5133-2013</t>
  </si>
  <si>
    <t>Wood, Andrew/0000-0002-6231-0085</t>
  </si>
  <si>
    <t>0-7803-6359-0</t>
  </si>
  <si>
    <t>WOS:000172046000493</t>
  </si>
  <si>
    <t>Wang, YK; Hwang, JN; Chen, CT; Tsang, L; Nijssen, B; Lettenmaier, DP</t>
  </si>
  <si>
    <t>Neural network inversion of snow parameters by fusion of snow hydrology prediction and SSM/I microwave satellite measurements</t>
  </si>
  <si>
    <t>PROCEEDINGS OF THE 1998 IEEE INTERNATIONAL CONFERENCE ON ACOUSTICS, SPEECH AND SIGNAL PROCESSING, VOLS 1-6</t>
  </si>
  <si>
    <t>International Conference on Acoustics Speech and Signal Processing (ICASSP)</t>
  </si>
  <si>
    <t>IEEE International Conference on Acoustics, Speech and Signal Processing (ICASSP 98)</t>
  </si>
  <si>
    <t>MAY 12-15, 1998</t>
  </si>
  <si>
    <t>IEEE Signal Proc Soc</t>
  </si>
  <si>
    <t>Inverse remote sensing problems are generally ill-posed. In this paper, we propose an approach, which integrates the dense media radiative transfer (DMRT) model, snow hydrology model, neural networks and SSM/I microwave measurements, to infer the snow depth. Four multilayer perceptrons (MLPs) were trained using the data from DMRT model. With the provision of initial guess from snow hydrology prediction, neural networks effectively invert the snow parameters based on SSM/I measurements. In addition, a prediction neural network is used to achieve adaptive learning rates and good initial estimate of snow depth for inversion. Result shows that our algorithm can effectively and accurately retrieve snow parameters from these highly nonlinear and many-to-one mappings.</t>
  </si>
  <si>
    <t>lettenmaier, dennis/T-3088-2017; Nijssen, Bart/B-1013-2012</t>
  </si>
  <si>
    <t>1520-6149</t>
  </si>
  <si>
    <t>0-7803-4428-6</t>
  </si>
  <si>
    <t>WOS:000074520700305</t>
  </si>
  <si>
    <t>Sun, CG; Neale, CMU; McDonnell, JJ; Cheng, HD</t>
  </si>
  <si>
    <t>Snow classification from SSM/I data over varied terrain using an artificial neural network classifier</t>
  </si>
  <si>
    <t>IGARSS '96 - 1996 INTERNATIONAL GEOSCIENCE AND REMOTE SENSING SYMPOSIUM: REMOTE SENSING FOR A SUSTAINABLE FUTURE, VOLS I - IV</t>
  </si>
  <si>
    <t>1996 International Geoscience and Remote Sensing Symposium (IGARSS 96) - Remote Sensing for a Sustainable Future</t>
  </si>
  <si>
    <t>MAY 21-31, 1996</t>
  </si>
  <si>
    <t>LINCOLN, NE</t>
  </si>
  <si>
    <t>IEEE, Geosci &amp; Remote Sensing Soc,Univ Nebraska, Lincoln,NASA,NOAA,USN, Off Naval Res,US Natl Comm Union Radiosci Int,Canon Modern Methods Inc,Univ Nebraska Lincoln, Ctr Adv Land Management Informat Technol,Univ Nebraska Lincoln, Ctr Commun &amp; Informat Sci,Univ Nebraska Lincoln, Ctr Electro Opt,Univ Nebraska Lincoln, Ctr Laser Anal Studies Trace Gas Dynam,Centurion Int Inc,Univ Nebraska Lincoln, Coll Engn &amp; Technol,Univ Nebraska Lincoln, Dept Elect Engn,ERDAS Inc,Univ Nebraska Lincoln, High Plains Climate Ctr,Li Cor Inc,US Geol Survey EROS Data Ctr</t>
  </si>
  <si>
    <t>/P-3676-2015; Sun, Chenguang/AAO-3169-2020; Mcdonnell, Jeffrey/I-6400-2013</t>
  </si>
  <si>
    <t>Mcdonnell, Jeffrey/0000-0002-3880-3162</t>
  </si>
  <si>
    <t>0-7803-3069-2</t>
  </si>
  <si>
    <t>WOS:A1996BF96U00044</t>
  </si>
  <si>
    <t>STURM, M; HOLMGREN, J; LISTON, GE</t>
  </si>
  <si>
    <t>A SEASONAL SNOW COVER CLASSIFICATION-SYSTEM FOR LOCAL TO GLOBAL APPLICATIONS</t>
  </si>
  <si>
    <t>JOURNAL OF CLIMATE</t>
  </si>
  <si>
    <t>A new classification system for seasonal snow covers is proposed. It has six classes (tundra, taiga, alpine, maritime, prairie, and ephemeral), each class defined by a unique ensemble of textural and stratigraphic characteristics including the sequence of snow layers, their thickness, density, and the crystal morphology and grain characteristics within each layer. The classes can also be derived using a binary system of three climate variables: wind, precipitation, and air temperature. Using this classification system, the Northern Hemisphere distribution of the snow cover classes is mapped on a 0.5 degrees lat X 0.5 degrees long grid. These maps are compared to maps prepared from snow cover data collected in the former Soviet Union and Alaska. For these areas where both climatologically based and texturally based snow cover maps are available, there is 62% and 90% agreement, respectively. Five of the six snow classes are found in Alaska. From 1989 through 1992, hourly measurements, consisting of 40 thermal and physical parameters, including snow depth, the temperature distribution in the snow, and basal heat flow, were made on four of these classes. In addition, snow stratigraphy and texture were measured every six weeks. Factor analysis indicates that the snow classes can be readily discriminated using four or more winter average thermal or physical parameters. Further, analysis of hourly time series indicates that 84% of the time, spot measurements of the parameters are sufficient to correctly differentiate the snow cover class. Using the new snow classification system, 1) classes can readily be distinguished using observations of simple thermal parameters, 2) physical and thermal attributes of the snow can be inferred, and 3) classes can be mapped from climate data for use in regional and global climate modeling.</t>
  </si>
  <si>
    <t>Sturm, Matthew/GXF-6926-2022; /AAV-8125-2020</t>
  </si>
  <si>
    <t>0894-8755</t>
  </si>
  <si>
    <t>1520-0442</t>
  </si>
  <si>
    <t>10.1175/1520-0442(1995)008&lt;1261:ASSCCS&gt;2.0.CO;2</t>
  </si>
  <si>
    <t>WOS:A1995RB23200002</t>
  </si>
  <si>
    <t>SUN, CY; CHENG, HD; MCDONNELL, JJ; NEALE, CMU</t>
  </si>
  <si>
    <t>IDENTIFICATION OF MOUNTAIN SNOW COVER USING SSM/I AND ARTIFICIAL NEURAL NETWORK</t>
  </si>
  <si>
    <t>1995 INTERNATIONAL CONFERENCE ON ACOUSTICS, SPEECH, AND SIGNAL PROCESSING - CONFERENCE PROCEEDINGS, VOLS 1-5</t>
  </si>
  <si>
    <t>1995 International Conference on Acoustics, Speech, and Signal Processing</t>
  </si>
  <si>
    <t>MAY 09-12, 1995</t>
  </si>
  <si>
    <t>DETROIT, MI</t>
  </si>
  <si>
    <t>IEEE, Signal Proc Soc</t>
  </si>
  <si>
    <t>Mcdonnell, Jeffrey/I-6400-2013; /P-3676-2015</t>
  </si>
  <si>
    <t>Mcdonnell, Jeffrey/0000-0002-3880-3162;</t>
  </si>
  <si>
    <t>0-7803-2432-3</t>
  </si>
  <si>
    <t>WOS:A1995BD41X00862</t>
  </si>
  <si>
    <t>DAVIS, DT; CHEN, ZX; HWANG, JN; CHANG, ATC; TSANG, L</t>
  </si>
  <si>
    <t>RETRIEVAL OF SNOW PARAMETERS BY ITERATIVE INVERSION OF A NEURAL-NETWORK</t>
  </si>
  <si>
    <t>12TH IEEE INTERNATIONAL GEOSCIENCE AND REMOTE SENSING SYMP ( IGARSS 92 )</t>
  </si>
  <si>
    <t>MAY 26-29, 1992</t>
  </si>
  <si>
    <t>LEAGUE CITY, TX</t>
  </si>
  <si>
    <t>IEEE, GEOSCI &amp; REMOTE SENSING SOC,UNION RADIO SCI ENGINEERS</t>
  </si>
  <si>
    <t>The inversion of snow parameters from passive microwave remote sensing measurements is performed based on an iterative inversion of a neural network (NN) trained with a dense media multiple scattering model. Inversion of four parameters is performed from five brightness temperatures. The four parameters are: mean-grain size of ice particles in snow, snow density, snow temperature, and snow depth. Iterative inversion of a data driven forward NN model is justified on a theoretical and methodological basis. We perform an error analysis, comparing iterative inversion of a forward model with the use of an explicit inverse for the retrieval of independent snow parameters from their corresponding measurements. The NN iterative inversion algorithm is further illustrated by reconstructing a synthetic terrain of snow parameters from their corresponding measurements, inverting all four parameters simultaneously. The reconstructed parameter contours are in good agreement with the original synthetic parameter contours.</t>
  </si>
  <si>
    <t>10.1109/36.239907</t>
  </si>
  <si>
    <t>WOS:A1993ME12200012</t>
  </si>
  <si>
    <t>TSANG, L; CHEN, ZX; OH, S; MARKS, RJ; CHANG, ATC</t>
  </si>
  <si>
    <t>INVERSION OF SNOW PARAMETERS FROM PASSIVE MICROWAVE REMOTE-SENSING MEASUREMENTS BY A NEURAL NETWORK TRAINED WITH A MULTIPLE-SCATTERING MODEL</t>
  </si>
  <si>
    <t>The inversion of snow parameters from passive microwave remote sensing measurements is performed with a neural network trained with a dense media multiple scattering model. The basic idea is to use the input-output pairs generated by the scattering model to train the neural network. Once the neural network is trained, it can invert snow parameters speedily from the measurements. In this paper, we have performed simultaneous inversion of three parameters: mean-grain size of ice particles in snow, snow density, and snow temperature from five brightness temperatures. The five brightness temperatures are that of 19 GHz vertical polarization, 19 GHz horizontal polarization, 22 GHz vertical polarization, 37 GHz vertical polarization, and 37 GHz horizontal polarization. It is shown that the neural network gives good results for the inversion of parameters from the simulated data computed from the dense media radiative transfer equation which includes the effects of multiple scattering. For the simulated testing data, the absolute percentage errors for mean-grain size of ice particles and snow density are less than 10%, and the absolute error for snow temperature less than is 3-degrees-K. We also use the neural network with the trained weighting coefficients of the three-parameter model to invert the SSMI data over the Antarctica region. The algorithm inverts 30 000 sets of 5-channel brightness temperatures of Antarctica in only 10 cpu min on a VAX 3500 workstation. Validity of the inversion results is discussed in view of the limited number of parameters that we used and the much more complicated real-life situation in the Antarctica.</t>
  </si>
  <si>
    <t>10.1109/36.175336</t>
  </si>
  <si>
    <t>WOS:A1992JZ98400019</t>
  </si>
  <si>
    <t>CHANG, ATC; TSANG, L</t>
  </si>
  <si>
    <t>A NEURAL NETWORK APPROACH TO INVERSION OF SNOW WATER EQUIVALENT FROM PASSIVE MICROWAVE MEASUREMENTS</t>
  </si>
  <si>
    <t>NORDIC HYDROLOGY</t>
  </si>
  <si>
    <t>The inversion of snow water equivalent, SWE, from passive microwave remote sensing measurements may be accomplished by using a neural network trained with a dense media multiple scattering model. Brightness temperatures from 19 GHz vertical and horizontal polarizations, 22 GHz vertical polarization and 37 GHz vertical and horizontal polarizations which are available from the SSM/I sensors, are used as input to the neural network. The percentage error for estimated SWE varies from 9 % to 57 % for different snow conditions.</t>
  </si>
  <si>
    <t>0029-1277</t>
  </si>
  <si>
    <t>WOS:A1992JQ28500003</t>
  </si>
  <si>
    <t>Search</t>
  </si>
  <si>
    <t>initial</t>
  </si>
  <si>
    <t>snowball</t>
  </si>
  <si>
    <t>Model</t>
  </si>
  <si>
    <t>Inputs</t>
  </si>
  <si>
    <t>Objective for ML</t>
  </si>
  <si>
    <t>Result</t>
  </si>
  <si>
    <t>ANN</t>
  </si>
  <si>
    <t>SWE</t>
  </si>
  <si>
    <t>SVM</t>
  </si>
  <si>
    <t>Snow Cover</t>
  </si>
  <si>
    <t>Snow depth</t>
  </si>
  <si>
    <t>Random Forest</t>
  </si>
  <si>
    <t>Sentinel-1 SAR</t>
  </si>
  <si>
    <t>MODIS</t>
  </si>
  <si>
    <t>Snow Depth</t>
  </si>
  <si>
    <t>RF</t>
  </si>
  <si>
    <t>MODIS, Landsat, ASO, Snow pillows, snow courses, historical SWE reanalysis data, physiographic vars, canopy density</t>
  </si>
  <si>
    <t>Bidirectional LSTM</t>
  </si>
  <si>
    <t>Found that a bidirectional LSTM with MODIS values predicted snow cover beneath clouds (a 3 day vs a 10 day window didn’t matter so much, mostly just that it had before and after information</t>
  </si>
  <si>
    <t>MODIS NDSI only</t>
  </si>
  <si>
    <t>mPA value reached 92%</t>
  </si>
  <si>
    <t>GaoFen Satellite (China satellite)</t>
  </si>
  <si>
    <t>One of the few computer vision examples I’ve seen with computer, they first used a unet to train sentinel-2 for snow cover, and then trained a spot image to predict snow cover from teh sentinel-2 image</t>
  </si>
  <si>
    <t>SPOT and sentinel-2 and Landsat</t>
  </si>
  <si>
    <t>Used MODIS NDSI, weather station RH and Air T, and snow depth from previous day to present snow depth at current day in Morocco</t>
  </si>
  <si>
    <t>UNet variant with VGG11 encoder  (TernausNet UNet with VGG11 encoder</t>
  </si>
  <si>
    <t>All models did best in open canopy and under canopy edges, but struggled in under canopy; they trained and tested in Tuolumne but tested in Switzerland and Gunnison, CO; more features can hurt model (if correlated); they trained on 13 scenes which feels small?</t>
  </si>
  <si>
    <t>Planet (4 spectral bands, but not SWIR because Planet doesn’t have SWIR), NDVI, canopy height, elevation, slope/aspect/nortness; validated again ASO training data</t>
  </si>
  <si>
    <t>Did “strategic sampling” to predict fSCA at Maxar resolution from Landsat and MODIS.</t>
  </si>
  <si>
    <t>Landsat and MODIS, and Maxar Worldview</t>
  </si>
  <si>
    <t>SSM/I, SSMIS passive microwave, AVHRR (advanced very high resolution radiometer; optical from NOAA), STRM (elevation), soil moisture ocean salinity (SMOS; ESA); trained against snow pits and weather stations, val with ERA-5 land</t>
  </si>
  <si>
    <t>CNN</t>
  </si>
  <si>
    <t>coupling a physical snow emission model (HUT) with ML — effective grain size (effGS) as a spatiotemporal descriptor of snow metamorphism before feeding into RF makes all three models perform similarly (R²=0.86, unRMSE≈3.4 cm) and robust to sample size</t>
  </si>
  <si>
    <t xml:space="preserve">AMSR2 Tb gradients (Tb10.65V − Tb36.5V) and (Tb18.7V − Tb36.5V) + effGS (HUT-optimized effective grain size, the critical innovation) + longitude + elevation; effGS is the dominant predictor </t>
  </si>
  <si>
    <t>Identified 5 snow classes using 22 years of MODIS; global domain</t>
  </si>
  <si>
    <t>MODIS NDSI</t>
  </si>
  <si>
    <t>Extreme Gradient Boost</t>
  </si>
  <si>
    <t>Novel physics-based labeling using the CROCUS snowpack model (wet snow = Tmin ≥ 0°C + snow height ≥ 0.4 m) replaces manual labeling.</t>
  </si>
  <si>
    <t>FFPCC-DNN — a 4-hidden-layer Deep Neural Network (32→128→64→64 neurons + dropout) outperforms XGBoost, Random Forest, and RNN</t>
  </si>
  <si>
    <t>retaining features highly correlated with snow depth but weakly correlated with each other — achieving RMSE=4.30 cm, R²=0.77 in forested Northeast China, where forest complicates SAR-based snow retrieval.</t>
  </si>
  <si>
    <t>21 optimized features (from original 34) including Sentinel-1 VV/VH backscatter (sigma, beta, gamma), radar ratios/differences, local incidence angle + ERA5-Land snow properties (albedo, density, temperature) + geographic features (lat, lon, elevation) + forest cover fraction + forest canopy height.</t>
  </si>
  <si>
    <t>XGBoost</t>
  </si>
  <si>
    <t>Transformer (called SWEFormer)</t>
  </si>
  <si>
    <t xml:space="preserve">Took place in Finland, linked Worldview + Lidar to on-the-ground, then extrapolated. Goal was to upscale the on-ground measurements to 10km2 resolution (what worldview is). Compared to in situ and lidar, but didn’t do any benchmarking </t>
  </si>
  <si>
    <t xml:space="preserve">Worldview and Lidar, land use/ land cover, </t>
  </si>
  <si>
    <t>SVR, KNN, XGBoost, RF</t>
  </si>
  <si>
    <t>RF model with optimal features demonstrate superior SD estimation performance, yielding a root mean square error (RMSE) of 3.91 cm, mean absolute error (MAE) of 2.27 cm, and an R2 of 0.80; compared to validation data (92 sites). 92 sites for training, 16 sites for valid.</t>
  </si>
  <si>
    <t xml:space="preserve">An active microwave sensor, the HaiYang-2B (HY-2B) spaceborne scatterometer with a Ku-band; they used ground dat to validate and compared it to China’s NSIDC (called NCDDC). ML had a RMSE of 3.91 cm and the NCDDC snow depth product from passive microwave had a RMSE of 7.74. </t>
  </si>
  <si>
    <t>Property</t>
  </si>
  <si>
    <t>Snow Density</t>
  </si>
  <si>
    <t>Snow Water Equivalent</t>
  </si>
  <si>
    <t>NA</t>
  </si>
  <si>
    <t>RNN</t>
  </si>
  <si>
    <t xml:space="preserve">SSM/I; </t>
  </si>
  <si>
    <t>Reference Data</t>
  </si>
  <si>
    <t>Weather Stations</t>
  </si>
  <si>
    <t>Domain</t>
  </si>
  <si>
    <t>Finland</t>
  </si>
  <si>
    <t>Quebec, Canada</t>
  </si>
  <si>
    <t>ground-based SWE data that is turned to gridded SWE using kriging</t>
  </si>
  <si>
    <t>Highlight</t>
  </si>
  <si>
    <t>Landsat-8 Snow Cover</t>
  </si>
  <si>
    <t>Convert MODIS to Landsat FSC</t>
  </si>
  <si>
    <t>*</t>
  </si>
  <si>
    <t>MODIS, Elevation, Landsat LST</t>
  </si>
  <si>
    <t>Heihe River Basin</t>
  </si>
  <si>
    <t>Derive SWE</t>
  </si>
  <si>
    <t>Tehran, Iran</t>
  </si>
  <si>
    <t xml:space="preserve">Very small, (223 points over 19 years) </t>
  </si>
  <si>
    <t>Convert MODIS to Landsat FSC; Compare Wavelet ANN to ANN</t>
  </si>
  <si>
    <t>InSAR (RadarSAR-2 HH-polarization)</t>
  </si>
  <si>
    <t>Rugged mountain terrain</t>
  </si>
  <si>
    <t>Derive snow cover from InSAR in low and high vegetation</t>
  </si>
  <si>
    <t>Fuse Landsat and IKONOS for high-res Snow Cover</t>
  </si>
  <si>
    <t>IKONOS</t>
  </si>
  <si>
    <t>Landsat and terrain</t>
  </si>
  <si>
    <t>CNN + transfer learning</t>
  </si>
  <si>
    <t>Train snow detection in cameras to validate MODIS</t>
  </si>
  <si>
    <t>133 cameras across U.S.</t>
  </si>
  <si>
    <t>Camera images</t>
  </si>
  <si>
    <t xml:space="preserve">Camera imagse </t>
  </si>
  <si>
    <t>Tibetian Plateau</t>
  </si>
  <si>
    <t>NN (Stacked Denoising Auto-Encoder)</t>
  </si>
  <si>
    <t>northern Italy</t>
  </si>
  <si>
    <t>Fused product performed than either MODIS or model alone</t>
  </si>
  <si>
    <t>MODIS, Hydrological Model</t>
  </si>
  <si>
    <t>Landsat-8 Snow Cover and ground measurements</t>
  </si>
  <si>
    <t>Fuse MODIS and Amundsen Hydrological Model, combining based off their uncertainty</t>
  </si>
  <si>
    <t>kNN, CNN, SVM, RF</t>
  </si>
  <si>
    <t>Sentinel-2, Sentinel-1 SAR, Elevation</t>
  </si>
  <si>
    <t>northern India</t>
  </si>
  <si>
    <t>Compare different models to improve snow cover</t>
  </si>
  <si>
    <t>Notes</t>
  </si>
  <si>
    <t>MDPI</t>
  </si>
  <si>
    <t>ANN outperformed the MODIS product</t>
  </si>
  <si>
    <t>Compare across methods</t>
  </si>
  <si>
    <t>Passive Microwave</t>
  </si>
  <si>
    <t>Iran</t>
  </si>
  <si>
    <t>Snow vs. Cloud</t>
  </si>
  <si>
    <t>European Cloud Mask</t>
  </si>
  <si>
    <t>Optical</t>
  </si>
  <si>
    <t>unclear</t>
  </si>
  <si>
    <t xml:space="preserve">Improve snow cover </t>
  </si>
  <si>
    <t>aerial information improved mapping</t>
  </si>
  <si>
    <t>Aerial information</t>
  </si>
  <si>
    <t>snow depth on sea ice</t>
  </si>
  <si>
    <t>Andean Catchment in Chile</t>
  </si>
  <si>
    <t>High Resolution Pleides satellite (4m res)</t>
  </si>
  <si>
    <t>Lidar</t>
  </si>
  <si>
    <t>RF, SVM, ANN</t>
  </si>
  <si>
    <t>Downscaling</t>
  </si>
  <si>
    <t>Retrieval</t>
  </si>
  <si>
    <t>Retrieval, Compare models</t>
  </si>
  <si>
    <t>DCNN</t>
  </si>
  <si>
    <t>Accuracy improved by 50% with ML; epecially in forestd areas where the impact on the snow retrieval is complex</t>
  </si>
  <si>
    <t>35+ inputs from ERA-5 Brightness Temperature, doy, location, roughness, slope, cosine, elevation, Snow cover, etc</t>
  </si>
  <si>
    <t>Used 6274 stations for validation (weather stations)</t>
  </si>
  <si>
    <t>Northern Latitudes (above 30d N)</t>
  </si>
  <si>
    <t xml:space="preserve">Improve snow depth derivation particulary in forests </t>
  </si>
  <si>
    <t xml:space="preserve">Derive snow properties faster than wave and radiative transfer models </t>
  </si>
  <si>
    <t xml:space="preserve">Tested in China and Finland </t>
  </si>
  <si>
    <t xml:space="preserve">Brightness temperature </t>
  </si>
  <si>
    <t xml:space="preserve">They trained on synethetic data and tested on real ' they basically also did it backwards and used the snow dpeth to predict the temperature brihtness so they cul have a backwards relationship and know that if the Tb was one thing it would mean a certain snow dpeth </t>
  </si>
  <si>
    <t>not super relevant</t>
  </si>
  <si>
    <t xml:space="preserve">Unable to account for spatial variability </t>
  </si>
  <si>
    <t>Physical coupling</t>
  </si>
  <si>
    <t>GAM</t>
  </si>
  <si>
    <t>XGBoost and RF</t>
  </si>
  <si>
    <t>Gap-Filling</t>
  </si>
  <si>
    <t>Validation</t>
  </si>
  <si>
    <t>Linear Regression</t>
  </si>
  <si>
    <t>RF, DNN</t>
  </si>
  <si>
    <t>ANN, SVR</t>
  </si>
  <si>
    <t>Amundsen</t>
  </si>
  <si>
    <t>Cosmo-SkyMed</t>
  </si>
  <si>
    <t>Brightness Temperature</t>
  </si>
  <si>
    <t>SVR, RF, XGBoost</t>
  </si>
  <si>
    <t>Snow Depth, Snow Water Equivalent</t>
  </si>
  <si>
    <t>Just another study, not that noteworthy</t>
  </si>
  <si>
    <t>Tb, latlong, elevation, land cover fraction</t>
  </si>
  <si>
    <t xml:space="preserve">Tb, in situ data </t>
  </si>
  <si>
    <t>Don't have access</t>
  </si>
  <si>
    <t xml:space="preserve">NN </t>
  </si>
  <si>
    <t>MODIS and SAR 1-Cband</t>
  </si>
  <si>
    <t>Tianshan Mountains</t>
  </si>
  <si>
    <t>NN (Deep Lab3 and NN)</t>
  </si>
  <si>
    <t>unsupervised</t>
  </si>
  <si>
    <t>Downscaling Tb to SWE with snow cover</t>
  </si>
  <si>
    <t xml:space="preserve"> passive microwave BT, location (latitude and longitude), terrain parameters (i.e., elevation, slope, and aspect), and vegetation cover </t>
  </si>
  <si>
    <t>4% increase in Swe</t>
  </si>
  <si>
    <t>SVR</t>
  </si>
  <si>
    <t xml:space="preserve">Zayandehroud River Basin </t>
  </si>
  <si>
    <t>Sentinel-1 C band</t>
  </si>
  <si>
    <t>Extremely Randomized Trees</t>
  </si>
  <si>
    <t>Outperforms globsnow</t>
  </si>
  <si>
    <t xml:space="preserve">Downscaling </t>
  </si>
  <si>
    <t xml:space="preserve">Passive Microwave (Tb), eleavtion data (for downscaling) </t>
  </si>
  <si>
    <t>Spatial Extrapolation from Weather Stations</t>
  </si>
  <si>
    <t>Northern Hemisphere</t>
  </si>
  <si>
    <t>MODIS, DEM, forest cover fraction</t>
  </si>
  <si>
    <t>Northern Xinjiang (NX), China</t>
  </si>
  <si>
    <t xml:space="preserve">snow depth observations from 44 stations </t>
  </si>
  <si>
    <t>Results indicate that applying wavelet transform reduces the root-mean-square error (RMSE) by 28.88% for FFNN</t>
  </si>
  <si>
    <t>AMSR2 TB and fSCA</t>
  </si>
  <si>
    <t>University of Arizona (UA) snowpack data</t>
  </si>
  <si>
    <t xml:space="preserve">using S1 data + physiographic features (tree cover, air temperature, snow density, elevation, month, lat/lon) </t>
  </si>
  <si>
    <t>Wet Snow</t>
  </si>
  <si>
    <t>S1, Sentinel-1 VV, VH, VV/VH polarimetric channels + ratios to snow-free reference image (R_VV, R_VH) + topographic data (elevation, slope, orientation) — best combination used polarimetric ratios + orientation.</t>
  </si>
  <si>
    <t>Snow Cover Regimes</t>
  </si>
  <si>
    <t>PCA k-means clustering</t>
  </si>
  <si>
    <t>Clustering</t>
  </si>
  <si>
    <t>Global</t>
  </si>
  <si>
    <t>None (Unsupervised)</t>
  </si>
  <si>
    <t>Unet</t>
  </si>
  <si>
    <t xml:space="preserve">Just another example, their train / test was all within domain (tiles are close by to other tiles) but it’s an example of  a unet and now they increase temporal resolution of landsat and other sensors etc; aggregated into 2000m resolution grid.; Looked at differences between ResNet (deeper) and UNet (shallower) and found that deeper networks can lose fine texture details; and shallow networks don’t learn enough and confuse similar things. </t>
  </si>
  <si>
    <t xml:space="preserve">Used FY4A-AGRI, SRTM Elevation, Landsat 8 to predict snow cover fraction with MODIS10A1 as the val. </t>
  </si>
  <si>
    <t>Extrapolation</t>
  </si>
  <si>
    <t>Snow Water Content</t>
  </si>
  <si>
    <t>NASA SMAP data (L-Data) ancillary ERA5 land reanalysis; fine-tuning 2000 insitu ground measurement stations; got the L band to work by look at the *temporal history* (a SWE change)</t>
  </si>
  <si>
    <t>They validated the model against a held-out, independent test set of 1,122 ground stations spanning from 2017 to 2020. Mentioned that X-band and Ka-band will fail</t>
  </si>
  <si>
    <t>Benchmarked again ERA5, GlobSnow, AMSR-based estimates and beat by 3x particularly in complex watersheds, where previous global SWE estimates suffer sig uncertainties; Because ground data is sparse, they used an "incremental learning" approach. The model first learned broad, low-level spatial patterns from the continuous ERA5 grid data. Then, it was fine-tuned (sharpened) using the actual in-situ ground observations.
Validation: They validated the model against a held-out, independent test set of 1,122 ground stations spanning from 2017 to 2020. Mentioned that X-band and Ka-band will fail</t>
  </si>
  <si>
    <t>CNN (DeepLab3)</t>
  </si>
  <si>
    <t>Sentinel-1 C Band</t>
  </si>
  <si>
    <t>Used unbiased RMSE; correlation was only ~0.5</t>
  </si>
  <si>
    <t>Gradient Boosting Decision Trees</t>
  </si>
  <si>
    <t>Outperformed NDSI</t>
  </si>
  <si>
    <t>Erciyes Mountain, Turkey,</t>
  </si>
  <si>
    <t>Landsat 5 and 8</t>
  </si>
  <si>
    <t>Reference Points</t>
  </si>
  <si>
    <t>5.25 cm in RMSE, which was better than the 7 cm RMSE for China products; also benchmarked with ERA5</t>
  </si>
  <si>
    <t>RF, NN</t>
  </si>
  <si>
    <t>Passive Microwave, lat/long, in situ snow depth, elevation, SCA</t>
  </si>
  <si>
    <t xml:space="preserve">herefore, in this section, we start from the physical principles of microwave remote sensing to explain why the use of corrected TBs, which are employed as input features in RF, can significantly enhance the performance of SD retrieval. </t>
  </si>
  <si>
    <t>Physical Model + RF</t>
  </si>
  <si>
    <t>Northeast China</t>
  </si>
  <si>
    <t>Can't Access</t>
  </si>
  <si>
    <t>Improving AMSR2-derived Snow Depth Spatial Resolution Through Synergistic Combinaation of Machine Learning and Random Sets Over the European Alps</t>
  </si>
  <si>
    <t>Western Himalaya (WH</t>
  </si>
  <si>
    <t>support vector machine, random forest, and Extremely Randomized Trees (ERT)</t>
  </si>
  <si>
    <t>43 snow monitoring stations</t>
  </si>
  <si>
    <t>Passive Microwave, MODIS Vegetation, Elevation, MODIS Snow Cover Duration Product</t>
  </si>
  <si>
    <t>Retreival</t>
  </si>
  <si>
    <t>optical, land cover, elevation</t>
  </si>
  <si>
    <t>extreme gradient boosting (XGBoost), light gradient-boosting machine (LightGBM), categorical boosting (CatBoost), and random forest (RF)</t>
  </si>
  <si>
    <t xml:space="preserve">Xinjiang (dry cold snow) </t>
  </si>
  <si>
    <t>1D, LSTM</t>
  </si>
  <si>
    <t xml:space="preserve">MODIS, weather stations, snow depth from previous day </t>
  </si>
  <si>
    <t>Morocco</t>
  </si>
  <si>
    <t>CatBoost, RF</t>
  </si>
  <si>
    <t>CatBoost outperformed the RF</t>
  </si>
  <si>
    <t>Qinghai-Tibet Plateau</t>
  </si>
  <si>
    <t xml:space="preserve">Retrieval </t>
  </si>
  <si>
    <t>Qinghai-Tibet Plateau (QTP)</t>
  </si>
  <si>
    <t>Snow Cover (classification and Regression for fSCA)</t>
  </si>
  <si>
    <t>Physical + ML</t>
  </si>
  <si>
    <t>Put in PM,snow density ,, temperature gradient, forest fraction, topo features, and produced daily snow depth maps at 6.25 km res across NE china from 1987 – 2018; Used SSM/I and SSMIS, and then also used ERA5 land reanalysis, MODIS land cover, SRTM DEM, and ground weather stations (for val). The PM was at an enhanced res (not the 25 km)</t>
  </si>
  <si>
    <t>Kmeans (clustering)</t>
  </si>
  <si>
    <t>RCNN, LSTM, TM</t>
  </si>
  <si>
    <t>Switzerland</t>
  </si>
  <si>
    <t xml:space="preserve">4 channels of sentinel 1 sar and all 12 channels of sentinel 2 multispectral, and dem to predict; focused on country scale (Switzerland); High resolution (10m); DEM and Sentinel-1 SAR C-Band, and Sentinel-2 optical multi-spectral and terrain features (DEM)  </t>
  </si>
  <si>
    <t xml:space="preserve">Snow Density </t>
  </si>
  <si>
    <t>Snow Pits and weather stations</t>
  </si>
  <si>
    <t>Spatiotemporal RF</t>
  </si>
  <si>
    <t>Benchmarked to ERA5</t>
  </si>
  <si>
    <t>Hindukush Mountains</t>
  </si>
  <si>
    <t xml:space="preserve">Compared their methods to a resampling method(?) and got R2 of 0.795. ; Used nested cross-validation in the training phase to adjust number of trees. </t>
  </si>
  <si>
    <t xml:space="preserve">Unet </t>
  </si>
  <si>
    <t>NN (ResNet)</t>
  </si>
  <si>
    <t>92 sites training, 16 valid</t>
  </si>
  <si>
    <t>Simulation (what the satellite would see depending on properties)</t>
  </si>
  <si>
    <t>Snow Microwave Radiative Transfer (SMRT)</t>
  </si>
  <si>
    <t xml:space="preserve">SNOTEL </t>
  </si>
  <si>
    <t>Andes</t>
  </si>
  <si>
    <t>Snow Fall</t>
  </si>
  <si>
    <t>1D CNN and 3D CNN</t>
  </si>
  <si>
    <t xml:space="preserve">THey use PMW to predict snowfall but validate with reanalysis, not with the normal radar. They benchmark against the GPROF V7; SNOTEL stations and look at the Andes; Inputs: PM, 2-m temperature, TCWV (ERA5), Air lifting index (ERA5), Elevation data, surface type; output is snowfall rate </t>
  </si>
  <si>
    <t>Snow cover is a crucial natural water resource that provides water storage. Monitoring snow cover is essential for sustainable water resource management. Accurate and efficient snow cover mapping is vital for water resource planning, flood control, and climate impact assessments. Remote sensing provides a cost-effective approach for monitoring snow cover dynamics, but classification accuracy remains a challenge. This study introduces a deep learning-based 1D convolutional neural network (1D CNN) approach for improved snow cover classification in mountainous regions utilizing Landsat 5 and 8 satellite images. The effectiveness of 1D CNN was compared with unsupervised classification (UC) methods (Normalized Difference Snow Index (NDSI), band ratio-based Red/Short wave infrared (R/SWIR), and Near infrared/Short wave infrared (NIR/SWIR)) and supervised machine learning classification methods (support vector machines (SVM) and classification and regression trees (CART)) in this research. The study was performed on y, across four different years. Classifier performances were assessed using various quantitative (precision, recall, F-score, overall accuracy, kappa) and qualitative (mean squared error, Pearson correlation coefficient, structural similarity index measure, peak signal-to-noise ratio) evaluation metrics. Pairwise statistical analysis using McNemar's test revealed significant differences between 1D CNN and the other classifiers. The findings demonstrated that the 1D CNN approach outperformed all other methods in achieving the highest accuracy in snow cover classification. These results indicate the potential of deep learning for enhancing snow cover assessment and supporting more effective water resource management strategies and policy-making.</t>
  </si>
  <si>
    <t>Erciyes Mountain, Turke</t>
  </si>
  <si>
    <t>Gaussian Process Regression (GPR), Support Vector Machine (SVM), Bayesian Regularized Neural Networks (BRNN), Random Forest (RF), and Gradient Boosting Machine (GBM)</t>
  </si>
  <si>
    <t>Extreme Gradient Boosting</t>
  </si>
  <si>
    <t>maybe?</t>
  </si>
  <si>
    <t xml:space="preserve">7 classifiers compared (KNN, SVM, RF, MLP, CNN, Adaboost, Logistic Regression) — KNN performed best; </t>
  </si>
  <si>
    <t>AMSR-E brightness temperature (frequency and polarization combinations)</t>
  </si>
  <si>
    <t>RadarSat-2 InSAR interferometric coherence (HH polarization), underlying surface type, local incidence angle</t>
  </si>
  <si>
    <t>Landsat and Terrain</t>
  </si>
  <si>
    <t>Passive microwave brightness temperatures, location (latitude/longitude), elevation, land cover</t>
  </si>
  <si>
    <t>Physiographic and remotely sensed information, daily SWE climatology, fractional snow-covered area</t>
  </si>
  <si>
    <t>Optical RGB</t>
  </si>
  <si>
    <t>MODIS, geographic datasets</t>
  </si>
  <si>
    <t>Hyperspectral</t>
  </si>
  <si>
    <t xml:space="preserve"> MODIS and Landsat 8 OLI image pairs</t>
  </si>
  <si>
    <t xml:space="preserve"> Landsat 5 and 8 satellite images</t>
  </si>
  <si>
    <t>Landsat, GaoFen-2</t>
  </si>
  <si>
    <t>AMSR2,  topographic factors, land cover, ground SWE measurements</t>
  </si>
  <si>
    <t>Inputs_ChatGSFC_merged</t>
  </si>
  <si>
    <t xml:space="preserve"> GF-1 satellite observations</t>
  </si>
  <si>
    <t xml:space="preserve"> IKONOS multispectral data (1 m resolution)</t>
  </si>
  <si>
    <t xml:space="preserve"> Ground-based daily snow depth data from 1223 stations</t>
  </si>
  <si>
    <t xml:space="preserve"> Reconstructed SWE (derived from remotely sensed date of disappearance)</t>
  </si>
  <si>
    <t xml:space="preserve"> Expert evaluation of imagery, MODIS satellite sensor</t>
  </si>
  <si>
    <t xml:space="preserve"> In-situ snow depth records, MOD10A1, MYD10A1</t>
  </si>
  <si>
    <t xml:space="preserve"> Reference ground data, MODIS, numerical model simulations</t>
  </si>
  <si>
    <t xml:space="preserve"> Field-based data values (snow wetness and density)</t>
  </si>
  <si>
    <t xml:space="preserve"> NA</t>
  </si>
  <si>
    <t>Reference_ChatGSFC_</t>
  </si>
  <si>
    <t>Domain_chatGSFC</t>
  </si>
  <si>
    <t>Passive Microwve</t>
  </si>
  <si>
    <t xml:space="preserve">Additional papers: </t>
  </si>
  <si>
    <t>A long-term daily gridded snow depth dataset for the Northern Hemisphere from 1980 to 2019 based on machine learning</t>
  </si>
  <si>
    <t>Landsat ETM+ imagery</t>
  </si>
  <si>
    <t>Data Split</t>
  </si>
  <si>
    <t>LOOCV</t>
  </si>
  <si>
    <t xml:space="preserve">spatiotemporal spli </t>
  </si>
  <si>
    <t>RMSE</t>
  </si>
  <si>
    <t>13.6 cm</t>
  </si>
  <si>
    <t>Table 4 under total</t>
  </si>
  <si>
    <t>table 4 for error results</t>
  </si>
  <si>
    <t>in section B</t>
  </si>
  <si>
    <t>averaged from their pickle file; but chopped off their extreme tail? ?</t>
  </si>
  <si>
    <t>averaged between bareland (4.3) and grasslands (8.29)</t>
  </si>
  <si>
    <t>This is nRMSE</t>
  </si>
  <si>
    <t>Landsat 8 OLI image pairs, MODIS FSC product</t>
  </si>
  <si>
    <t>Landsat snow cover products</t>
  </si>
  <si>
    <t>Data observed at different experimental sites</t>
  </si>
  <si>
    <t>In-situ data, GNSS-R estimates</t>
  </si>
  <si>
    <t>Independent station observations, WESTDC former dataset</t>
  </si>
  <si>
    <t>Manually segmented ground truth masks, SEVIRI cloud mask product</t>
  </si>
  <si>
    <t>Passive microwave, geophysical parameters (ice, snow, atmospheric properties)</t>
  </si>
  <si>
    <t>AMSR2 TB differences (18.7V &amp; 36.5V, 10.65V &amp; 36.5V), longitude, elevation, effective grain size (effGS)</t>
  </si>
  <si>
    <t>PlanetScope 4-band (RGB+NIR) optical satellite images</t>
  </si>
  <si>
    <t>MODIS top-of-atmosphere reflectance (bands 1-7), NDSI, NDVI, land cover class</t>
  </si>
  <si>
    <t>MODIS atmospherically corrected daily reflectance data</t>
  </si>
  <si>
    <t>Enhanced-resolution passive microwave brightness temperature, land cover, topography, location</t>
  </si>
  <si>
    <t>Historical HR time-series, explicit geomorphometric, global snow, multitemporal properties</t>
  </si>
  <si>
    <t>Sentinel-1 SAR amplitude, surface disturbance map, precipitation, temperature, topography, land cover, population</t>
  </si>
  <si>
    <t>MODIS 5km SCF, auxiliary 1-km datasets</t>
  </si>
  <si>
    <t>MODIS surface reflectance (bands 1-7)</t>
  </si>
  <si>
    <t>Satellite-observed DMFSCA, snow pillow SWE measurements, physiographic data, historical SWE patterns</t>
  </si>
  <si>
    <t>GK-2A/AMI snow cover, S-NPP/VIIRS</t>
  </si>
  <si>
    <t>COSMO-SkyMed X-band SAR data, forest canopy, Alpine3D SWE predictions</t>
  </si>
  <si>
    <t>Enhanced-resolution Brightness Temperature (TB), forest fraction, snow characteristics</t>
  </si>
  <si>
    <t>Optical and passive microwave remote sensing observations, Sentinel-1 derived SD</t>
  </si>
  <si>
    <t>Sentinel-1 C-band SAR parameter combinations</t>
  </si>
  <si>
    <t>Radarsat-2 C-band full-polarization SAR (polarimetric descriptors)</t>
  </si>
  <si>
    <t>WorldView-2/WorldView-3 multispectral bands, normalized difference indices (e.g., NDVI)</t>
  </si>
  <si>
    <t>RGB images, HIS images (converted from remote sensing images)</t>
  </si>
  <si>
    <t>PlanetScope 4-band (RGB+NIR) reflectance, NDVI, DEM metrics (elevation, slope, aspect)</t>
  </si>
  <si>
    <t>AMSR2 Brightness temperature gradients, effective grain size (effGS), longitude, elevation</t>
  </si>
  <si>
    <t>MODIS NDSI spatiotemporal data (earlier and subsequent timestamps)</t>
  </si>
  <si>
    <t>Landsat-8 equivalent ground references</t>
  </si>
  <si>
    <t>Passive microwave BT, location, terrain parameters (elevation, slope, aspect), vegetation cover</t>
  </si>
  <si>
    <t>Exponential correlation length (Pec), AMSR2 TB differences, snow density, forest cover fraction, elevation, longitude</t>
  </si>
  <si>
    <t>DInSAR data, Alpine3D outputs, MODIS, DEM, land cover models</t>
  </si>
  <si>
    <t>AMSR-2 data, auxiliary datasets</t>
  </si>
  <si>
    <t>Passive microwave brightness temperature</t>
  </si>
  <si>
    <t>Satellite data sources, elevation maps</t>
  </si>
  <si>
    <t>Enhanced-resolution PM data, geographical location, topographic features, land cover</t>
  </si>
  <si>
    <t>Sentinel-1 SAR imagery, optical snow cover observations, topographic, forest cover, snow class</t>
  </si>
  <si>
    <t>Sentinel-1 backscatter coefficient (sigma0), auxiliary data</t>
  </si>
  <si>
    <t>Advanced Microwave Scanning Radiometer 2 (AMSR2) TB data, fractional snow cover products</t>
  </si>
  <si>
    <t>Sentinel-1 C-band SAR data, physiographic characteristics, snow persistence</t>
  </si>
  <si>
    <t>Sentinel-1 SAR images, topographic information (DEM orientation), polarimetric combinations</t>
  </si>
  <si>
    <t>MODIS 22-yr record of snow cover</t>
  </si>
  <si>
    <t>FengYun-4A multispectral images, geographic data</t>
  </si>
  <si>
    <t>Sentinel-1 C-band data, auxiliary data</t>
  </si>
  <si>
    <t>MODIS fSCA, physiographic features</t>
  </si>
  <si>
    <t>MODIS surface reflectance bands 1-7, spectral indices, topography, landcover</t>
  </si>
  <si>
    <t>Surface temperature, wind speed, and other GEE-extracted factors</t>
  </si>
  <si>
    <t>MODIS NDSI, day-of-year, static topographic features</t>
  </si>
  <si>
    <t>Sentinel-2 fractional SCA, Sentinel-1 wet snow mask, daily temperature</t>
  </si>
  <si>
    <t>Sentinel-2 images (for SPOT emulation)</t>
  </si>
  <si>
    <t>Multispectral images (deep feature snow index - DFSI)</t>
  </si>
  <si>
    <t>Light Detection and Ranging (LiDAR), WorldView-2 (WV-2) data</t>
  </si>
  <si>
    <t>Sentinel-2 spectral bands (Blue, SWIR, Red, Water Vapor)</t>
  </si>
  <si>
    <t>Ten meteorological parameters, albedo, snow cover fraction</t>
  </si>
  <si>
    <t>DEM, Land Surface Temperature (LST), Land Cover Type, random sets snow cover data</t>
  </si>
  <si>
    <t>Satellite imagery (Sentinel 1-2, Landsat, MODIS), crowd-sourced data</t>
  </si>
  <si>
    <t>AVHRR optical remote sensing data, cloud indicators</t>
  </si>
  <si>
    <t>AMSR-2 passive microwave data, SSE mod fractional snow cover, DEM, land cover type</t>
  </si>
  <si>
    <t>AMSR-2 brightness temperature, slope, surface roughness</t>
  </si>
  <si>
    <t>Multimodal features (AMSR2 TB, meteorological data, geographic factors, SCA)</t>
  </si>
  <si>
    <t>Multisource remote sensing data (PMW and optical)</t>
  </si>
  <si>
    <t>High-resolution optical imagery (Landsat, Sentinel-2 time series)</t>
  </si>
  <si>
    <t>Microwave radiative transfer model simulations (snow density, snow grain size)</t>
  </si>
  <si>
    <t>UAV-acquired reference snow maps</t>
  </si>
  <si>
    <t>In situ observations from the N-ICE2015 campaign</t>
  </si>
  <si>
    <t>Terrestrial LiDAR scan</t>
  </si>
  <si>
    <t>Station data, field survey data, AMSR2, GlobSnow-2</t>
  </si>
  <si>
    <t>Ground SWE measurements from spatially distributed snow surveys</t>
  </si>
  <si>
    <t>Airborne lidar differential depth measurements, satellite platforms</t>
  </si>
  <si>
    <t>Landsat 8 binary snow/no snow maps (30 m)</t>
  </si>
  <si>
    <t>Landsat scenes</t>
  </si>
  <si>
    <t>Fine-labeled and rough-labeled TH-1 satellite images</t>
  </si>
  <si>
    <t>MODIS snow cover products, Meteorological station observations</t>
  </si>
  <si>
    <t>High-resolution time-series data (historical analyses)</t>
  </si>
  <si>
    <t>In situ ground observations, AMSR2, ERA5-Land, Globsnow</t>
  </si>
  <si>
    <t>Snowpit data from Altay snow experiment and NoSREx</t>
  </si>
  <si>
    <t>Landsat 8 images, In-situ snow depth stations</t>
  </si>
  <si>
    <t>Ground-based measurements</t>
  </si>
  <si>
    <t>Site-based observations</t>
  </si>
  <si>
    <t>Ground-based snow depth measurements, Landsat-8 snow cover extent</t>
  </si>
  <si>
    <t>Measured SD at weather stations</t>
  </si>
  <si>
    <t>Landsat 8 FSC, In situ snow depth, ESA SnowCCI AVHRR products</t>
  </si>
  <si>
    <t>Airborne Snow Observatories (ASO) SWE data</t>
  </si>
  <si>
    <t>WUS-SR product, SNOTEL observations</t>
  </si>
  <si>
    <t>SVS-2/Crocus physical snow model simulations</t>
  </si>
  <si>
    <t>Public SD product, Ground-based SD measurements</t>
  </si>
  <si>
    <t>In situ snow depth observations, Landsat 8 snow cover maps, MODIS snow cover products, FY-4A snow cover product</t>
  </si>
  <si>
    <t>Operational SD products, MODIS snow cover</t>
  </si>
  <si>
    <t>Independent ground observations</t>
  </si>
  <si>
    <t>In situ observed SD at meteorological stations, Field observation SD, ERA5-Land, JAXA AMSR2</t>
  </si>
  <si>
    <t>Ground-based SD datasets, Airborne lidar surveys (ASO)</t>
  </si>
  <si>
    <t>In situ observations, ERA5, GlobSnow, AMSR-based estimates</t>
  </si>
  <si>
    <t>Field-based repeat snow depth and SWE measurements</t>
  </si>
  <si>
    <t>MOD10C1 SCF, Climatology</t>
  </si>
  <si>
    <t>Ground truth data from time-lapse photography network</t>
  </si>
  <si>
    <t>Snow pillow SWE measurements, Snow course SWE measurements, Airborne Snow Observatory SWE, SNODAS, NWM</t>
  </si>
  <si>
    <t>S-NPP/VIIRS snow cover, ASOS in situ snow observation data</t>
  </si>
  <si>
    <t>In situ measurements, AMUNDSEN snow model predictions</t>
  </si>
  <si>
    <t>Ground weather stations, WESTDC, AMSR2</t>
  </si>
  <si>
    <t>Independent in situ SD data, AMSR-E/AMSR2 SD products</t>
  </si>
  <si>
    <t>Ground-based SD observations from meteorological stations, Field measurement data</t>
  </si>
  <si>
    <t>Field snow wetness profiles</t>
  </si>
  <si>
    <t>Landsat and MODSCAG fSCA products</t>
  </si>
  <si>
    <t>Ground-based observations, AMSR2, GlobSnow-v3.0, ERA5-land</t>
  </si>
  <si>
    <t>In situ snow depth observations</t>
  </si>
  <si>
    <t>Landsat-8 data</t>
  </si>
  <si>
    <t>Ground-based observations</t>
  </si>
  <si>
    <t>Independent in situ measurements, AMSR2, GlobSnow 3.0, ERA5, ERA5-land</t>
  </si>
  <si>
    <t>In situ data, MODIS maps</t>
  </si>
  <si>
    <t>Independent spatial/temporal datasets, AMSR-2, GlobSnow, Chang model</t>
  </si>
  <si>
    <t>In-situ SD data, Existing SD products</t>
  </si>
  <si>
    <t>Airborne photogrammetry snow depth maps</t>
  </si>
  <si>
    <t>In-situ snow depth</t>
  </si>
  <si>
    <t>Independent in-situ measurement sites</t>
  </si>
  <si>
    <t>In situ snow depth observations from 44 stations</t>
  </si>
  <si>
    <t>Airborne Snow Observatory (ASO), University of Arizona (UA) snowpack datasets</t>
  </si>
  <si>
    <t>CROCUS model labels, Copernicus products, meteorological station data</t>
  </si>
  <si>
    <t>MOD10A1 FSC product</t>
  </si>
  <si>
    <t>Meteorological stations, Field measured SD data</t>
  </si>
  <si>
    <t>Landsat fSCA</t>
  </si>
  <si>
    <t>In-situ measurements, ERA5-Land snow density</t>
  </si>
  <si>
    <t>Sentinel-2 NDSI</t>
  </si>
  <si>
    <t>In situ data</t>
  </si>
  <si>
    <t>Sentinel-2 reference snow maps</t>
  </si>
  <si>
    <t>Figure 4 information</t>
  </si>
  <si>
    <t>Topography</t>
  </si>
  <si>
    <t>Land Cover</t>
  </si>
  <si>
    <t>Reanalysis</t>
  </si>
  <si>
    <t>C Band SAR</t>
  </si>
  <si>
    <t>High-Res Optical</t>
  </si>
  <si>
    <t>Weather Station Data</t>
  </si>
  <si>
    <t xml:space="preserve">X-band SAR </t>
  </si>
  <si>
    <t xml:space="preserve">L-band SAR </t>
  </si>
  <si>
    <t>Input Data</t>
  </si>
  <si>
    <t>Field Measurements</t>
  </si>
  <si>
    <t>Passive Microwave SD products</t>
  </si>
  <si>
    <t xml:space="preserve">High-res optical </t>
  </si>
  <si>
    <t xml:space="preserve">SWE </t>
  </si>
  <si>
    <t>Other</t>
  </si>
  <si>
    <t>Wang et al., Xiong et al., 2022; Elyoussfi et al., 2025</t>
  </si>
  <si>
    <t>Bloshchinskiy et al., 2020; Kosmala et al., 2018; Zheng et al., 2021; Jin et al., 2022; Yin et al., 2022; Dumont et al., 2024; Johnston et al. 2024; Demil 2025</t>
  </si>
  <si>
    <t>papers</t>
  </si>
  <si>
    <t>snow cover</t>
  </si>
  <si>
    <t>snow depth</t>
  </si>
  <si>
    <t>other</t>
  </si>
  <si>
    <t>totals</t>
  </si>
  <si>
    <t>Farmer et al., 2010; Xiao et al., 2021</t>
  </si>
  <si>
    <t>Hou et al., 2014; Czyzowska-Wisniewski et al., 2015; Kan et al., 2018; Nijhawan et al., 2019; Premier et al., 2021; John et al., 2022; Azizi et al., 2024; Kollert et al., 2024; Liu et al., 2024; Hu et al., 2025</t>
  </si>
  <si>
    <t>Dobreva et al., 2011; Kuter et al., 2021; Xiao et al., 2021; Azizi et al., 2024; Hu et al., 2025</t>
  </si>
  <si>
    <t>Palermo et al., 2023</t>
  </si>
  <si>
    <t>Santi et al., 2022; Kumawat et al., 2025</t>
  </si>
  <si>
    <t>He et al., 2015; Liu et al., 2020; Palermo et al., 2023; Esmaeelzadeh et al., 2024</t>
  </si>
  <si>
    <t>Cannistra et al., 2021; Hu et al., 2022; John et al., 2022</t>
  </si>
  <si>
    <t>Esmaeelzadeh et al., 2024</t>
  </si>
  <si>
    <t>Yang et al., 2022</t>
  </si>
  <si>
    <t>Wang et al., 2020; Bai et al., 2025; Elyoussfi et al., 2025</t>
  </si>
  <si>
    <t>Goodarzi et al., 2024</t>
  </si>
  <si>
    <t>Santi et al., 2022</t>
  </si>
  <si>
    <t>Kumawat et al., 2025</t>
  </si>
  <si>
    <t>Gao et al., 2023; Tsang et al., 1992; Chang et al., 1992; Chen et al., 2001; Tedesco et al., 2004; Evora et al., 2008; Tong et al., 2010; Dariane et al., 2014; Zhang et al., 2021; Moradizadeh et al., 2023; Li et al., 2026</t>
  </si>
  <si>
    <t>Xiao et al., 2018; Zaerpour et al., 2020; Yang et al., 2020; Wang et al., 2020; Yang et al., 2021; Wei et al., 2022; Tanniru et al., 2023; Wei et al., 2023; Liu et al., 2024; Hou et al., 2024; Bai et al., 2025; Tanniru et al., 2025; Yan et al., 2025; Wang et al., 2025; Li et al., 2026; Bai et al., 2026; Wei et al., 2026</t>
  </si>
  <si>
    <t>Xue et al., 2015; Rostosky et al., 2020; Sun et al., 2024; Gonzalez et al., 2025</t>
  </si>
  <si>
    <t>Zhang et al., 2021; Moradizadeh et al., 2023</t>
  </si>
  <si>
    <t>Xiao et al., 2018; Yang et al., 2020; Yang et al., 2021; Daudt et al., 2023; Gao et al., 2023; Tanniru et al., 2023; Dunmire et al., 2024; Liu et al., 2024; Esfahani et al., 2025; Yan et al., 2025; Wang et al., 2025; Bai et al., 2026; Li et al., 2026; Wei et al., 2026</t>
  </si>
  <si>
    <t>Gallet et al., 2024</t>
  </si>
  <si>
    <t xml:space="preserve"> Sauter et al. 2010; Dobreva, 2011; Hou, 2014; Moosavi, 2014; Czyzowska-Wisniewski et al. 2015; Kan et al. 2018; 
De Gregorio et al. 2019; Haq et al. 2019; Nijhawan et al., 2019; Liu et al. 2020; Guo et al. 2020; Hou et al. 2020; Liu et al. 2020; zHu et al.2022; Hou et al., 2022; Luan, et al. 2022; 
Azizi et al., 2024; Kollert et al., 2024, Esmaeelzadeh et al., 2024; Wang et al., 2024; Mahanthege et al., 2024; Liu et al., 2024; 
Johnston et al. 2024; Kesikoglu et al. 2025; Hu et al. 2025; Sun et al., 2024; Zhang et al., 2026; Wei et al., 2025</t>
  </si>
  <si>
    <t xml:space="preserve"> Gao et al. 2011; Yang et al., 2022; Goodarzi et al., 2025; Yang et al, 2025(?)</t>
  </si>
  <si>
    <t>Zhang et al., 2021; Santi et al., 2022; Moradizadeh et al., 2023</t>
  </si>
  <si>
    <t>Xiao et al., 2018; Yang et al., 2020; Wei et al., 2022; Gao et al., 2023; Wei et al., 2023; Broxton et al., 2024; Dunmire et al., 2024; Liu et al., 2024; Yu et al., 2024; Esfahani et al., 2025; Wang et al., 2025; Yan et al., 2025</t>
  </si>
  <si>
    <t>Sun et al., 2024</t>
  </si>
  <si>
    <t>Yu et al., 2022; Zhu et al., 2022; Daudt et al., 2023; Broxton et al., 2024; Dunmire et al., 2024; Ni et al., 2024; Yu et al., 2024; Ying et al., 2025</t>
  </si>
  <si>
    <t>Kumar et al., 2022; Gallet et al., 2024</t>
  </si>
  <si>
    <t>percentages</t>
  </si>
  <si>
    <t>Brodylo et al., 2025</t>
  </si>
  <si>
    <t>Kan et al., 2018; Xiao et al., 2021; Hou et al., 2022; Esmaeelzadeh et al., 2024; Hu et al., 2025; Zhang et al., 2026</t>
  </si>
  <si>
    <t>Chen et al., 2001; Tedesco et al., 2004; Dariane et al., 2014; Zaerpour et al., 2020; Zhang et al., 2021; Moradizadeh et al., 2023; Li et al., 2026</t>
  </si>
  <si>
    <t>Xiao et al., 2018; Wang et al., 2020; Yang et al., 2020; Yang et al., 2021; Wei et al., 2022; Zhu et al., 2022; Gao et al., 2023; Wei et al., 2023; Dunmire et al., 2024; Hou et al., 2024; Ni et al., 2024; Yu et al., 2024; Bai et al., 2025; Chen et al., 2025; Tanniru et al., 2025; Wang et al., 2025; Bai et al., 2026; Li et al., 2026; Wei et al., 2026</t>
  </si>
  <si>
    <t>Johnston et al., 2024; Gallet et al., 2024; Sun et al., 2024</t>
  </si>
  <si>
    <t>Dobreva et al., 2011; Hou et al., 2014; Moosavi et al., 2014; He et al., 2015; De Gregorio et al., 2019; Guo et al., 2020; Hou et al., 2020; Kuter et al., 2021; Rittger et al., 2021; Xiao et al., 2021; Luan et al., 2022; Yatheendradas et al., 2022; Azizi et al., 2024; Kollert et al., 2024; Liu et al., 2024; Hu et al., 2025; Sun et al., 2025; Zhang et al., 2026</t>
  </si>
  <si>
    <t>Yu et al., 2022; Yu et al., 2024; Yan et al., 2025; Wei et al., 2026</t>
  </si>
  <si>
    <t>Gonzalez et al., 2025</t>
  </si>
  <si>
    <t>Li et al., 2026</t>
  </si>
  <si>
    <t>Kosmala et al., 2018; Bloshchinskiy et al., 2020; Jin et al., 2022; Dumont et al., 2024</t>
  </si>
  <si>
    <t>Meloche et al., 2025</t>
  </si>
  <si>
    <t>Gallet et al., 2024; Sun et al., 2024; Gonzalez et al., 2025</t>
  </si>
  <si>
    <t>Airborne Lidar &amp; ASO</t>
  </si>
  <si>
    <t>Liu et al., 2020; Cannistra et al., 2021; John et al., 2022</t>
  </si>
  <si>
    <t>Yang et al., 2022; Yang et al., 2025</t>
  </si>
  <si>
    <t>Shaw et al., 2020; Daudt et al., 2023; Broxton et al., 2024; Brodylo et al., 2025; Ying et al., 2025</t>
  </si>
  <si>
    <t>Haq et al., 2019; Liu et al., 2020; Luo et al., 2022</t>
  </si>
  <si>
    <t>Zhu et al., 2022; Yu et al., 2024; Bai et al., 2025</t>
  </si>
  <si>
    <t>Bloshchinskiy et al., 2020; Rostosky et al., 2020; Kumar et al., 2022</t>
  </si>
  <si>
    <t>Tanniru et al., 2023; Chen et al., 2025; Tanniru et al., 2025</t>
  </si>
  <si>
    <t xml:space="preserve">Czyzowska-Wisniewski et al., 2015	</t>
  </si>
  <si>
    <t>1990-1995</t>
  </si>
  <si>
    <t>1996-2000</t>
  </si>
  <si>
    <t>2001-2005</t>
  </si>
  <si>
    <t>2006-2010</t>
  </si>
  <si>
    <t>2011-2015</t>
  </si>
  <si>
    <t>2016-2020</t>
  </si>
  <si>
    <t>2021-2025</t>
  </si>
  <si>
    <t>Years</t>
  </si>
  <si>
    <t xml:space="preserve">Count </t>
  </si>
  <si>
    <t>CNN/U-Net</t>
  </si>
  <si>
    <t xml:space="preserve">Gradient Boosting </t>
  </si>
  <si>
    <t>RNN/ LSTM</t>
  </si>
  <si>
    <t>Unsupervised (kmeans, PCA)</t>
  </si>
  <si>
    <t>Transformer</t>
  </si>
  <si>
    <t>Count</t>
  </si>
  <si>
    <t>RF, SVM</t>
  </si>
  <si>
    <t>bagged regression trees, feed forward NN</t>
  </si>
  <si>
    <t>CNN, LSTM</t>
  </si>
  <si>
    <t>seven different machine learning methods, including adaptive neural-fuzzy inference system (ANFIS), M5P, multivariate adaptive regression spline (MARS), random forest (RF), support vector regression (SVR), gene expression programming (GEP) and eXtreme gradient boosting (XGBoost)</t>
  </si>
  <si>
    <t>CNN, RF, SVM, ANN, multiple linear regression (MLR)</t>
  </si>
  <si>
    <t>NA (review)</t>
  </si>
  <si>
    <t>Snow Property</t>
  </si>
  <si>
    <t>Snow cover</t>
  </si>
  <si>
    <t xml:space="preserve">snow water equivalent </t>
  </si>
  <si>
    <t>total</t>
  </si>
  <si>
    <t>Percent</t>
  </si>
  <si>
    <t xml:space="preserve">total (some papers counted twice if you used multiple models) </t>
  </si>
  <si>
    <t>Feed-forward /ANN</t>
  </si>
  <si>
    <t>snow vs cloud</t>
  </si>
  <si>
    <t xml:space="preserve">snow density </t>
  </si>
  <si>
    <t xml:space="preserve">wet snow </t>
  </si>
  <si>
    <t xml:space="preserve">snow cover regimes </t>
  </si>
  <si>
    <t xml:space="preserve">snow fall </t>
  </si>
  <si>
    <t>Snow Water Equivalent, Snow Depth</t>
  </si>
  <si>
    <t>Snow Water equivalent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</si>
</sst>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ont>
    <font>
      <sz val="10"/>
      <name val="Arial"/>
      <family val="2"/>
    </font>
    <font>
      <sz val="10"/>
      <color theme="1"/>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9F46D-E5D8-584F-B503-80AD62E9533D}">
  <dimension ref="A1:BT85"/>
  <sheetViews>
    <sheetView workbookViewId="0">
      <selection activeCell="M19" sqref="M19"/>
    </sheetView>
  </sheetViews>
  <sheetFormatPr baseColWidth="10" defaultRowHeight="13" x14ac:dyDescent="0.15"/>
  <cols>
    <col min="1" max="1" width="11.33203125" customWidth="1"/>
    <col min="2" max="2" width="16.5" customWidth="1"/>
    <col min="3" max="256" width="8.83203125" customWidth="1"/>
  </cols>
  <sheetData>
    <row r="1" spans="1:72"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x14ac:dyDescent="0.15">
      <c r="A2" t="s">
        <v>72</v>
      </c>
      <c r="B2" t="s">
        <v>73</v>
      </c>
      <c r="C2" t="s">
        <v>74</v>
      </c>
      <c r="D2" t="s">
        <v>74</v>
      </c>
      <c r="E2" t="s">
        <v>74</v>
      </c>
      <c r="F2" t="s">
        <v>75</v>
      </c>
      <c r="G2" t="s">
        <v>74</v>
      </c>
      <c r="H2" t="s">
        <v>74</v>
      </c>
      <c r="I2" t="s">
        <v>76</v>
      </c>
      <c r="J2" t="s">
        <v>77</v>
      </c>
      <c r="K2" t="s">
        <v>74</v>
      </c>
      <c r="L2" t="s">
        <v>74</v>
      </c>
      <c r="M2" t="s">
        <v>74</v>
      </c>
      <c r="N2" t="s">
        <v>74</v>
      </c>
      <c r="O2" t="s">
        <v>74</v>
      </c>
      <c r="P2" t="s">
        <v>74</v>
      </c>
      <c r="Q2" t="s">
        <v>74</v>
      </c>
      <c r="R2" t="s">
        <v>74</v>
      </c>
      <c r="S2" t="s">
        <v>74</v>
      </c>
      <c r="T2" t="s">
        <v>74</v>
      </c>
      <c r="U2" t="s">
        <v>74</v>
      </c>
      <c r="V2" t="s">
        <v>78</v>
      </c>
      <c r="W2" t="s">
        <v>74</v>
      </c>
      <c r="X2" t="s">
        <v>74</v>
      </c>
      <c r="Y2" t="s">
        <v>74</v>
      </c>
      <c r="Z2" t="s">
        <v>74</v>
      </c>
      <c r="AA2" t="s">
        <v>74</v>
      </c>
      <c r="AB2" t="s">
        <v>74</v>
      </c>
      <c r="AC2" t="s">
        <v>74</v>
      </c>
      <c r="AD2" t="s">
        <v>74</v>
      </c>
      <c r="AE2" t="s">
        <v>74</v>
      </c>
      <c r="AF2" t="s">
        <v>74</v>
      </c>
      <c r="AG2" t="s">
        <v>74</v>
      </c>
      <c r="AH2" t="s">
        <v>74</v>
      </c>
      <c r="AI2" t="s">
        <v>74</v>
      </c>
      <c r="AJ2" t="s">
        <v>74</v>
      </c>
      <c r="AK2" t="s">
        <v>74</v>
      </c>
      <c r="AL2" t="s">
        <v>74</v>
      </c>
      <c r="AM2" t="s">
        <v>74</v>
      </c>
      <c r="AN2" t="s">
        <v>74</v>
      </c>
      <c r="AO2" t="s">
        <v>79</v>
      </c>
      <c r="AP2" t="s">
        <v>80</v>
      </c>
      <c r="AQ2" t="s">
        <v>74</v>
      </c>
      <c r="AR2" t="s">
        <v>74</v>
      </c>
      <c r="AS2" t="s">
        <v>74</v>
      </c>
      <c r="AT2" t="s">
        <v>74</v>
      </c>
      <c r="AU2">
        <v>2026</v>
      </c>
      <c r="AV2">
        <v>20</v>
      </c>
      <c r="AW2">
        <v>5</v>
      </c>
      <c r="AX2" t="s">
        <v>74</v>
      </c>
      <c r="AY2" t="s">
        <v>74</v>
      </c>
      <c r="AZ2" t="s">
        <v>74</v>
      </c>
      <c r="BA2" t="s">
        <v>74</v>
      </c>
      <c r="BB2">
        <v>2977</v>
      </c>
      <c r="BC2">
        <v>2997</v>
      </c>
      <c r="BD2" t="s">
        <v>74</v>
      </c>
      <c r="BE2" t="s">
        <v>81</v>
      </c>
      <c r="BF2" t="str">
        <f>HYPERLINK("http://dx.doi.org/10.5194/tc-20-2977-2026","http://dx.doi.org/10.5194/tc-20-2977-2026")</f>
        <v>http://dx.doi.org/10.5194/tc-20-2977-2026</v>
      </c>
      <c r="BG2" t="s">
        <v>74</v>
      </c>
      <c r="BH2" t="s">
        <v>82</v>
      </c>
      <c r="BI2" t="s">
        <v>74</v>
      </c>
      <c r="BJ2" t="s">
        <v>74</v>
      </c>
      <c r="BK2" t="s">
        <v>74</v>
      </c>
      <c r="BL2" t="s">
        <v>74</v>
      </c>
      <c r="BM2" t="s">
        <v>74</v>
      </c>
      <c r="BN2" t="s">
        <v>74</v>
      </c>
      <c r="BO2" t="s">
        <v>74</v>
      </c>
      <c r="BP2" t="s">
        <v>74</v>
      </c>
      <c r="BQ2" t="s">
        <v>74</v>
      </c>
      <c r="BR2" t="s">
        <v>74</v>
      </c>
      <c r="BS2" t="s">
        <v>83</v>
      </c>
      <c r="BT2" t="str">
        <f>HYPERLINK("https%3A%2F%2Fwww.webofscience.com%2Fwos%2Fwoscc%2Ffull-record%2FWOS:001772482400001","View Full Record in Web of Science")</f>
        <v>View Full Record in Web of Science</v>
      </c>
    </row>
    <row r="3" spans="1:72" x14ac:dyDescent="0.15">
      <c r="A3" t="s">
        <v>72</v>
      </c>
      <c r="B3" t="s">
        <v>84</v>
      </c>
      <c r="C3" t="s">
        <v>74</v>
      </c>
      <c r="D3" t="s">
        <v>74</v>
      </c>
      <c r="E3" t="s">
        <v>74</v>
      </c>
      <c r="F3" t="s">
        <v>85</v>
      </c>
      <c r="G3" t="s">
        <v>74</v>
      </c>
      <c r="H3" t="s">
        <v>74</v>
      </c>
      <c r="I3" t="s">
        <v>86</v>
      </c>
      <c r="J3" t="s">
        <v>77</v>
      </c>
      <c r="K3" t="s">
        <v>74</v>
      </c>
      <c r="L3" t="s">
        <v>74</v>
      </c>
      <c r="M3" t="s">
        <v>74</v>
      </c>
      <c r="N3" t="s">
        <v>74</v>
      </c>
      <c r="O3" t="s">
        <v>74</v>
      </c>
      <c r="P3" t="s">
        <v>74</v>
      </c>
      <c r="Q3" t="s">
        <v>74</v>
      </c>
      <c r="R3" t="s">
        <v>74</v>
      </c>
      <c r="S3" t="s">
        <v>74</v>
      </c>
      <c r="T3" t="s">
        <v>74</v>
      </c>
      <c r="U3" t="s">
        <v>74</v>
      </c>
      <c r="V3" t="s">
        <v>87</v>
      </c>
      <c r="W3" t="s">
        <v>74</v>
      </c>
      <c r="X3" t="s">
        <v>74</v>
      </c>
      <c r="Y3" t="s">
        <v>74</v>
      </c>
      <c r="Z3" t="s">
        <v>74</v>
      </c>
      <c r="AA3" t="s">
        <v>88</v>
      </c>
      <c r="AB3" t="s">
        <v>89</v>
      </c>
      <c r="AC3" t="s">
        <v>74</v>
      </c>
      <c r="AD3" t="s">
        <v>74</v>
      </c>
      <c r="AE3" t="s">
        <v>74</v>
      </c>
      <c r="AF3" t="s">
        <v>74</v>
      </c>
      <c r="AG3" t="s">
        <v>74</v>
      </c>
      <c r="AH3" t="s">
        <v>74</v>
      </c>
      <c r="AI3" t="s">
        <v>74</v>
      </c>
      <c r="AJ3" t="s">
        <v>74</v>
      </c>
      <c r="AK3" t="s">
        <v>74</v>
      </c>
      <c r="AL3" t="s">
        <v>74</v>
      </c>
      <c r="AM3" t="s">
        <v>74</v>
      </c>
      <c r="AN3" t="s">
        <v>74</v>
      </c>
      <c r="AO3" t="s">
        <v>79</v>
      </c>
      <c r="AP3" t="s">
        <v>80</v>
      </c>
      <c r="AQ3" t="s">
        <v>74</v>
      </c>
      <c r="AR3" t="s">
        <v>74</v>
      </c>
      <c r="AS3" t="s">
        <v>74</v>
      </c>
      <c r="AT3" t="s">
        <v>90</v>
      </c>
      <c r="AU3">
        <v>2026</v>
      </c>
      <c r="AV3">
        <v>20</v>
      </c>
      <c r="AW3">
        <v>1</v>
      </c>
      <c r="AX3" t="s">
        <v>74</v>
      </c>
      <c r="AY3" t="s">
        <v>74</v>
      </c>
      <c r="AZ3" t="s">
        <v>74</v>
      </c>
      <c r="BA3" t="s">
        <v>74</v>
      </c>
      <c r="BB3">
        <v>227</v>
      </c>
      <c r="BC3">
        <v>244</v>
      </c>
      <c r="BD3" t="s">
        <v>74</v>
      </c>
      <c r="BE3" t="s">
        <v>91</v>
      </c>
      <c r="BF3" t="str">
        <f>HYPERLINK("http://dx.doi.org/10.5194/tc-20-227-2026","http://dx.doi.org/10.5194/tc-20-227-2026")</f>
        <v>http://dx.doi.org/10.5194/tc-20-227-2026</v>
      </c>
      <c r="BG3" t="s">
        <v>74</v>
      </c>
      <c r="BH3" t="s">
        <v>74</v>
      </c>
      <c r="BI3" t="s">
        <v>74</v>
      </c>
      <c r="BJ3" t="s">
        <v>74</v>
      </c>
      <c r="BK3" t="s">
        <v>74</v>
      </c>
      <c r="BL3" t="s">
        <v>74</v>
      </c>
      <c r="BM3" t="s">
        <v>74</v>
      </c>
      <c r="BN3" t="s">
        <v>74</v>
      </c>
      <c r="BO3" t="s">
        <v>74</v>
      </c>
      <c r="BP3" t="s">
        <v>74</v>
      </c>
      <c r="BQ3" t="s">
        <v>74</v>
      </c>
      <c r="BR3" t="s">
        <v>74</v>
      </c>
      <c r="BS3" t="s">
        <v>92</v>
      </c>
      <c r="BT3" t="str">
        <f>HYPERLINK("https%3A%2F%2Fwww.webofscience.com%2Fwos%2Fwoscc%2Ffull-record%2FWOS:001660928400001","View Full Record in Web of Science")</f>
        <v>View Full Record in Web of Science</v>
      </c>
    </row>
    <row r="4" spans="1:72" x14ac:dyDescent="0.15">
      <c r="A4" t="s">
        <v>72</v>
      </c>
      <c r="B4" t="s">
        <v>93</v>
      </c>
      <c r="C4" t="s">
        <v>74</v>
      </c>
      <c r="D4" t="s">
        <v>74</v>
      </c>
      <c r="E4" t="s">
        <v>74</v>
      </c>
      <c r="F4" t="s">
        <v>94</v>
      </c>
      <c r="G4" t="s">
        <v>74</v>
      </c>
      <c r="H4" t="s">
        <v>74</v>
      </c>
      <c r="I4" t="s">
        <v>95</v>
      </c>
      <c r="J4" t="s">
        <v>96</v>
      </c>
      <c r="K4" t="s">
        <v>74</v>
      </c>
      <c r="L4" t="s">
        <v>74</v>
      </c>
      <c r="M4" t="s">
        <v>74</v>
      </c>
      <c r="N4" t="s">
        <v>74</v>
      </c>
      <c r="O4" t="s">
        <v>74</v>
      </c>
      <c r="P4" t="s">
        <v>74</v>
      </c>
      <c r="Q4" t="s">
        <v>74</v>
      </c>
      <c r="R4" t="s">
        <v>74</v>
      </c>
      <c r="S4" t="s">
        <v>74</v>
      </c>
      <c r="T4" t="s">
        <v>74</v>
      </c>
      <c r="U4" t="s">
        <v>74</v>
      </c>
      <c r="V4" t="s">
        <v>97</v>
      </c>
      <c r="W4" t="s">
        <v>74</v>
      </c>
      <c r="X4" t="s">
        <v>74</v>
      </c>
      <c r="Y4" t="s">
        <v>74</v>
      </c>
      <c r="Z4" t="s">
        <v>74</v>
      </c>
      <c r="AA4" t="s">
        <v>98</v>
      </c>
      <c r="AB4" t="s">
        <v>74</v>
      </c>
      <c r="AC4" t="s">
        <v>74</v>
      </c>
      <c r="AD4" t="s">
        <v>74</v>
      </c>
      <c r="AE4" t="s">
        <v>74</v>
      </c>
      <c r="AF4" t="s">
        <v>74</v>
      </c>
      <c r="AG4" t="s">
        <v>74</v>
      </c>
      <c r="AH4" t="s">
        <v>74</v>
      </c>
      <c r="AI4" t="s">
        <v>74</v>
      </c>
      <c r="AJ4" t="s">
        <v>74</v>
      </c>
      <c r="AK4" t="s">
        <v>74</v>
      </c>
      <c r="AL4" t="s">
        <v>74</v>
      </c>
      <c r="AM4" t="s">
        <v>74</v>
      </c>
      <c r="AN4" t="s">
        <v>74</v>
      </c>
      <c r="AO4" t="s">
        <v>99</v>
      </c>
      <c r="AP4" t="s">
        <v>100</v>
      </c>
      <c r="AQ4" t="s">
        <v>74</v>
      </c>
      <c r="AR4" t="s">
        <v>74</v>
      </c>
      <c r="AS4" t="s">
        <v>74</v>
      </c>
      <c r="AT4" t="s">
        <v>74</v>
      </c>
      <c r="AU4">
        <v>2026</v>
      </c>
      <c r="AV4">
        <v>64</v>
      </c>
      <c r="AW4" t="s">
        <v>74</v>
      </c>
      <c r="AX4" t="s">
        <v>74</v>
      </c>
      <c r="AY4" t="s">
        <v>74</v>
      </c>
      <c r="AZ4" t="s">
        <v>74</v>
      </c>
      <c r="BA4" t="s">
        <v>74</v>
      </c>
      <c r="BB4" t="s">
        <v>74</v>
      </c>
      <c r="BC4" t="s">
        <v>74</v>
      </c>
      <c r="BD4">
        <v>4300615</v>
      </c>
      <c r="BE4" t="s">
        <v>101</v>
      </c>
      <c r="BF4" t="str">
        <f>HYPERLINK("http://dx.doi.org/10.1109/TGRS.2026.3653456","http://dx.doi.org/10.1109/TGRS.2026.3653456")</f>
        <v>http://dx.doi.org/10.1109/TGRS.2026.3653456</v>
      </c>
      <c r="BG4" t="s">
        <v>74</v>
      </c>
      <c r="BH4" t="s">
        <v>74</v>
      </c>
      <c r="BI4" t="s">
        <v>74</v>
      </c>
      <c r="BJ4" t="s">
        <v>74</v>
      </c>
      <c r="BK4" t="s">
        <v>74</v>
      </c>
      <c r="BL4" t="s">
        <v>74</v>
      </c>
      <c r="BM4" t="s">
        <v>74</v>
      </c>
      <c r="BN4" t="s">
        <v>74</v>
      </c>
      <c r="BO4" t="s">
        <v>74</v>
      </c>
      <c r="BP4" t="s">
        <v>74</v>
      </c>
      <c r="BQ4" t="s">
        <v>74</v>
      </c>
      <c r="BR4" t="s">
        <v>74</v>
      </c>
      <c r="BS4" t="s">
        <v>102</v>
      </c>
      <c r="BT4" t="str">
        <f>HYPERLINK("https%3A%2F%2Fwww.webofscience.com%2Fwos%2Fwoscc%2Ffull-record%2FWOS:001708259200007","View Full Record in Web of Science")</f>
        <v>View Full Record in Web of Science</v>
      </c>
    </row>
    <row r="5" spans="1:72" x14ac:dyDescent="0.15">
      <c r="A5" t="s">
        <v>72</v>
      </c>
      <c r="B5" t="s">
        <v>103</v>
      </c>
      <c r="C5" t="s">
        <v>74</v>
      </c>
      <c r="D5" t="s">
        <v>74</v>
      </c>
      <c r="E5" t="s">
        <v>74</v>
      </c>
      <c r="F5" t="s">
        <v>104</v>
      </c>
      <c r="G5" t="s">
        <v>74</v>
      </c>
      <c r="H5" t="s">
        <v>74</v>
      </c>
      <c r="I5" t="s">
        <v>105</v>
      </c>
      <c r="J5" t="s">
        <v>96</v>
      </c>
      <c r="K5" t="s">
        <v>74</v>
      </c>
      <c r="L5" t="s">
        <v>74</v>
      </c>
      <c r="M5" t="s">
        <v>74</v>
      </c>
      <c r="N5" t="s">
        <v>74</v>
      </c>
      <c r="O5" t="s">
        <v>74</v>
      </c>
      <c r="P5" t="s">
        <v>74</v>
      </c>
      <c r="Q5" t="s">
        <v>74</v>
      </c>
      <c r="R5" t="s">
        <v>74</v>
      </c>
      <c r="S5" t="s">
        <v>74</v>
      </c>
      <c r="T5" t="s">
        <v>74</v>
      </c>
      <c r="U5" t="s">
        <v>74</v>
      </c>
      <c r="V5" t="s">
        <v>106</v>
      </c>
      <c r="W5" t="s">
        <v>74</v>
      </c>
      <c r="X5" t="s">
        <v>74</v>
      </c>
      <c r="Y5" t="s">
        <v>74</v>
      </c>
      <c r="Z5" t="s">
        <v>74</v>
      </c>
      <c r="AA5" t="s">
        <v>107</v>
      </c>
      <c r="AB5" t="s">
        <v>74</v>
      </c>
      <c r="AC5" t="s">
        <v>74</v>
      </c>
      <c r="AD5" t="s">
        <v>74</v>
      </c>
      <c r="AE5" t="s">
        <v>74</v>
      </c>
      <c r="AF5" t="s">
        <v>74</v>
      </c>
      <c r="AG5" t="s">
        <v>74</v>
      </c>
      <c r="AH5" t="s">
        <v>74</v>
      </c>
      <c r="AI5" t="s">
        <v>74</v>
      </c>
      <c r="AJ5" t="s">
        <v>74</v>
      </c>
      <c r="AK5" t="s">
        <v>74</v>
      </c>
      <c r="AL5" t="s">
        <v>74</v>
      </c>
      <c r="AM5" t="s">
        <v>74</v>
      </c>
      <c r="AN5" t="s">
        <v>74</v>
      </c>
      <c r="AO5" t="s">
        <v>99</v>
      </c>
      <c r="AP5" t="s">
        <v>100</v>
      </c>
      <c r="AQ5" t="s">
        <v>74</v>
      </c>
      <c r="AR5" t="s">
        <v>74</v>
      </c>
      <c r="AS5" t="s">
        <v>74</v>
      </c>
      <c r="AT5" t="s">
        <v>74</v>
      </c>
      <c r="AU5">
        <v>2026</v>
      </c>
      <c r="AV5">
        <v>64</v>
      </c>
      <c r="AW5" t="s">
        <v>74</v>
      </c>
      <c r="AX5" t="s">
        <v>74</v>
      </c>
      <c r="AY5" t="s">
        <v>74</v>
      </c>
      <c r="AZ5" t="s">
        <v>74</v>
      </c>
      <c r="BA5" t="s">
        <v>74</v>
      </c>
      <c r="BB5" t="s">
        <v>74</v>
      </c>
      <c r="BC5" t="s">
        <v>74</v>
      </c>
      <c r="BD5">
        <v>4300714</v>
      </c>
      <c r="BE5" t="s">
        <v>108</v>
      </c>
      <c r="BF5" t="str">
        <f>HYPERLINK("http://dx.doi.org/10.1109/TGRS.2026.3658511","http://dx.doi.org/10.1109/TGRS.2026.3658511")</f>
        <v>http://dx.doi.org/10.1109/TGRS.2026.3658511</v>
      </c>
      <c r="BG5" t="s">
        <v>74</v>
      </c>
      <c r="BH5" t="s">
        <v>74</v>
      </c>
      <c r="BI5" t="s">
        <v>74</v>
      </c>
      <c r="BJ5" t="s">
        <v>74</v>
      </c>
      <c r="BK5" t="s">
        <v>74</v>
      </c>
      <c r="BL5" t="s">
        <v>74</v>
      </c>
      <c r="BM5" t="s">
        <v>74</v>
      </c>
      <c r="BN5" t="s">
        <v>74</v>
      </c>
      <c r="BO5" t="s">
        <v>74</v>
      </c>
      <c r="BP5" t="s">
        <v>74</v>
      </c>
      <c r="BQ5" t="s">
        <v>74</v>
      </c>
      <c r="BR5" t="s">
        <v>74</v>
      </c>
      <c r="BS5" t="s">
        <v>109</v>
      </c>
      <c r="BT5" t="str">
        <f>HYPERLINK("https%3A%2F%2Fwww.webofscience.com%2Fwos%2Fwoscc%2Ffull-record%2FWOS:001683260800023","View Full Record in Web of Science")</f>
        <v>View Full Record in Web of Science</v>
      </c>
    </row>
    <row r="6" spans="1:72" x14ac:dyDescent="0.15">
      <c r="A6" t="s">
        <v>72</v>
      </c>
      <c r="B6" t="s">
        <v>110</v>
      </c>
      <c r="C6" t="s">
        <v>74</v>
      </c>
      <c r="D6" t="s">
        <v>74</v>
      </c>
      <c r="E6" t="s">
        <v>74</v>
      </c>
      <c r="F6" t="s">
        <v>111</v>
      </c>
      <c r="G6" t="s">
        <v>74</v>
      </c>
      <c r="H6" t="s">
        <v>74</v>
      </c>
      <c r="I6" t="s">
        <v>112</v>
      </c>
      <c r="J6" t="s">
        <v>77</v>
      </c>
      <c r="K6" t="s">
        <v>74</v>
      </c>
      <c r="L6" t="s">
        <v>74</v>
      </c>
      <c r="M6" t="s">
        <v>74</v>
      </c>
      <c r="N6" t="s">
        <v>74</v>
      </c>
      <c r="O6" t="s">
        <v>74</v>
      </c>
      <c r="P6" t="s">
        <v>74</v>
      </c>
      <c r="Q6" t="s">
        <v>74</v>
      </c>
      <c r="R6" t="s">
        <v>74</v>
      </c>
      <c r="S6" t="s">
        <v>74</v>
      </c>
      <c r="T6" t="s">
        <v>74</v>
      </c>
      <c r="U6" t="s">
        <v>74</v>
      </c>
      <c r="V6" t="s">
        <v>113</v>
      </c>
      <c r="W6" t="s">
        <v>74</v>
      </c>
      <c r="X6" t="s">
        <v>74</v>
      </c>
      <c r="Y6" t="s">
        <v>74</v>
      </c>
      <c r="Z6" t="s">
        <v>74</v>
      </c>
      <c r="AA6" t="s">
        <v>114</v>
      </c>
      <c r="AB6" t="s">
        <v>115</v>
      </c>
      <c r="AC6" t="s">
        <v>74</v>
      </c>
      <c r="AD6" t="s">
        <v>74</v>
      </c>
      <c r="AE6" t="s">
        <v>74</v>
      </c>
      <c r="AF6" t="s">
        <v>74</v>
      </c>
      <c r="AG6" t="s">
        <v>74</v>
      </c>
      <c r="AH6" t="s">
        <v>74</v>
      </c>
      <c r="AI6" t="s">
        <v>74</v>
      </c>
      <c r="AJ6" t="s">
        <v>74</v>
      </c>
      <c r="AK6" t="s">
        <v>74</v>
      </c>
      <c r="AL6" t="s">
        <v>74</v>
      </c>
      <c r="AM6" t="s">
        <v>74</v>
      </c>
      <c r="AN6" t="s">
        <v>74</v>
      </c>
      <c r="AO6" t="s">
        <v>79</v>
      </c>
      <c r="AP6" t="s">
        <v>80</v>
      </c>
      <c r="AQ6" t="s">
        <v>74</v>
      </c>
      <c r="AR6" t="s">
        <v>74</v>
      </c>
      <c r="AS6" t="s">
        <v>74</v>
      </c>
      <c r="AT6" t="s">
        <v>116</v>
      </c>
      <c r="AU6">
        <v>2025</v>
      </c>
      <c r="AV6">
        <v>19</v>
      </c>
      <c r="AW6">
        <v>11</v>
      </c>
      <c r="AX6" t="s">
        <v>74</v>
      </c>
      <c r="AY6" t="s">
        <v>74</v>
      </c>
      <c r="AZ6" t="s">
        <v>74</v>
      </c>
      <c r="BA6" t="s">
        <v>74</v>
      </c>
      <c r="BB6">
        <v>6127</v>
      </c>
      <c r="BC6">
        <v>6148</v>
      </c>
      <c r="BD6" t="s">
        <v>74</v>
      </c>
      <c r="BE6" t="s">
        <v>117</v>
      </c>
      <c r="BF6" t="str">
        <f>HYPERLINK("http://dx.doi.org/10.5194/tc-19-6127-2025","http://dx.doi.org/10.5194/tc-19-6127-2025")</f>
        <v>http://dx.doi.org/10.5194/tc-19-6127-2025</v>
      </c>
      <c r="BG6" t="s">
        <v>74</v>
      </c>
      <c r="BH6" t="s">
        <v>74</v>
      </c>
      <c r="BI6" t="s">
        <v>74</v>
      </c>
      <c r="BJ6" t="s">
        <v>74</v>
      </c>
      <c r="BK6" t="s">
        <v>74</v>
      </c>
      <c r="BL6" t="s">
        <v>74</v>
      </c>
      <c r="BM6" t="s">
        <v>74</v>
      </c>
      <c r="BN6" t="s">
        <v>74</v>
      </c>
      <c r="BO6" t="s">
        <v>74</v>
      </c>
      <c r="BP6" t="s">
        <v>74</v>
      </c>
      <c r="BQ6" t="s">
        <v>74</v>
      </c>
      <c r="BR6" t="s">
        <v>74</v>
      </c>
      <c r="BS6" t="s">
        <v>118</v>
      </c>
      <c r="BT6" t="str">
        <f>HYPERLINK("https%3A%2F%2Fwww.webofscience.com%2Fwos%2Fwoscc%2Ffull-record%2FWOS:001620513000001","View Full Record in Web of Science")</f>
        <v>View Full Record in Web of Science</v>
      </c>
    </row>
    <row r="7" spans="1:72" x14ac:dyDescent="0.15">
      <c r="A7" t="s">
        <v>72</v>
      </c>
      <c r="B7" t="s">
        <v>119</v>
      </c>
      <c r="C7" t="s">
        <v>74</v>
      </c>
      <c r="D7" t="s">
        <v>74</v>
      </c>
      <c r="E7" t="s">
        <v>74</v>
      </c>
      <c r="F7" t="s">
        <v>120</v>
      </c>
      <c r="G7" t="s">
        <v>74</v>
      </c>
      <c r="H7" t="s">
        <v>74</v>
      </c>
      <c r="I7" t="s">
        <v>121</v>
      </c>
      <c r="J7" t="s">
        <v>122</v>
      </c>
      <c r="K7" t="s">
        <v>74</v>
      </c>
      <c r="L7" t="s">
        <v>74</v>
      </c>
      <c r="M7" t="s">
        <v>74</v>
      </c>
      <c r="N7" t="s">
        <v>74</v>
      </c>
      <c r="O7" t="s">
        <v>74</v>
      </c>
      <c r="P7" t="s">
        <v>74</v>
      </c>
      <c r="Q7" t="s">
        <v>74</v>
      </c>
      <c r="R7" t="s">
        <v>74</v>
      </c>
      <c r="S7" t="s">
        <v>74</v>
      </c>
      <c r="T7" t="s">
        <v>74</v>
      </c>
      <c r="U7" t="s">
        <v>74</v>
      </c>
      <c r="V7" t="s">
        <v>123</v>
      </c>
      <c r="W7" t="s">
        <v>74</v>
      </c>
      <c r="X7" t="s">
        <v>74</v>
      </c>
      <c r="Y7" t="s">
        <v>74</v>
      </c>
      <c r="Z7" t="s">
        <v>74</v>
      </c>
      <c r="AA7" t="s">
        <v>124</v>
      </c>
      <c r="AB7" t="s">
        <v>125</v>
      </c>
      <c r="AC7" t="s">
        <v>74</v>
      </c>
      <c r="AD7" t="s">
        <v>74</v>
      </c>
      <c r="AE7" t="s">
        <v>74</v>
      </c>
      <c r="AF7" t="s">
        <v>74</v>
      </c>
      <c r="AG7" t="s">
        <v>74</v>
      </c>
      <c r="AH7" t="s">
        <v>74</v>
      </c>
      <c r="AI7" t="s">
        <v>74</v>
      </c>
      <c r="AJ7" t="s">
        <v>74</v>
      </c>
      <c r="AK7" t="s">
        <v>74</v>
      </c>
      <c r="AL7" t="s">
        <v>74</v>
      </c>
      <c r="AM7" t="s">
        <v>74</v>
      </c>
      <c r="AN7" t="s">
        <v>74</v>
      </c>
      <c r="AO7" t="s">
        <v>126</v>
      </c>
      <c r="AP7" t="s">
        <v>127</v>
      </c>
      <c r="AQ7" t="s">
        <v>74</v>
      </c>
      <c r="AR7" t="s">
        <v>74</v>
      </c>
      <c r="AS7" t="s">
        <v>74</v>
      </c>
      <c r="AT7" t="s">
        <v>128</v>
      </c>
      <c r="AU7">
        <v>2025</v>
      </c>
      <c r="AV7">
        <v>330</v>
      </c>
      <c r="AW7" t="s">
        <v>74</v>
      </c>
      <c r="AX7" t="s">
        <v>74</v>
      </c>
      <c r="AY7" t="s">
        <v>74</v>
      </c>
      <c r="AZ7" t="s">
        <v>74</v>
      </c>
      <c r="BA7" t="s">
        <v>74</v>
      </c>
      <c r="BB7" t="s">
        <v>74</v>
      </c>
      <c r="BC7" t="s">
        <v>74</v>
      </c>
      <c r="BD7">
        <v>114963</v>
      </c>
      <c r="BE7" t="s">
        <v>129</v>
      </c>
      <c r="BF7" t="str">
        <f>HYPERLINK("http://dx.doi.org/10.1016/j.rse.2025.114963","http://dx.doi.org/10.1016/j.rse.2025.114963")</f>
        <v>http://dx.doi.org/10.1016/j.rse.2025.114963</v>
      </c>
      <c r="BG7" t="s">
        <v>74</v>
      </c>
      <c r="BH7" t="s">
        <v>130</v>
      </c>
      <c r="BI7" t="s">
        <v>74</v>
      </c>
      <c r="BJ7" t="s">
        <v>74</v>
      </c>
      <c r="BK7" t="s">
        <v>74</v>
      </c>
      <c r="BL7" t="s">
        <v>74</v>
      </c>
      <c r="BM7" t="s">
        <v>74</v>
      </c>
      <c r="BN7" t="s">
        <v>74</v>
      </c>
      <c r="BO7" t="s">
        <v>74</v>
      </c>
      <c r="BP7" t="s">
        <v>74</v>
      </c>
      <c r="BQ7" t="s">
        <v>74</v>
      </c>
      <c r="BR7" t="s">
        <v>74</v>
      </c>
      <c r="BS7" t="s">
        <v>131</v>
      </c>
      <c r="BT7" t="str">
        <f>HYPERLINK("https%3A%2F%2Fwww.webofscience.com%2Fwos%2Fwoscc%2Ffull-record%2FWOS:001561289100003","View Full Record in Web of Science")</f>
        <v>View Full Record in Web of Science</v>
      </c>
    </row>
    <row r="8" spans="1:72" x14ac:dyDescent="0.15">
      <c r="A8" t="s">
        <v>72</v>
      </c>
      <c r="B8" t="s">
        <v>132</v>
      </c>
      <c r="C8" t="s">
        <v>74</v>
      </c>
      <c r="D8" t="s">
        <v>74</v>
      </c>
      <c r="E8" t="s">
        <v>74</v>
      </c>
      <c r="F8" t="s">
        <v>133</v>
      </c>
      <c r="G8" t="s">
        <v>74</v>
      </c>
      <c r="H8" t="s">
        <v>74</v>
      </c>
      <c r="I8" t="s">
        <v>134</v>
      </c>
      <c r="J8" t="s">
        <v>135</v>
      </c>
      <c r="K8" t="s">
        <v>74</v>
      </c>
      <c r="L8" t="s">
        <v>74</v>
      </c>
      <c r="M8" t="s">
        <v>74</v>
      </c>
      <c r="N8" t="s">
        <v>74</v>
      </c>
      <c r="O8" t="s">
        <v>74</v>
      </c>
      <c r="P8" t="s">
        <v>74</v>
      </c>
      <c r="Q8" t="s">
        <v>74</v>
      </c>
      <c r="R8" t="s">
        <v>74</v>
      </c>
      <c r="S8" t="s">
        <v>74</v>
      </c>
      <c r="T8" t="s">
        <v>74</v>
      </c>
      <c r="U8" t="s">
        <v>74</v>
      </c>
      <c r="V8" t="s">
        <v>136</v>
      </c>
      <c r="W8" t="s">
        <v>74</v>
      </c>
      <c r="X8" t="s">
        <v>74</v>
      </c>
      <c r="Y8" t="s">
        <v>74</v>
      </c>
      <c r="Z8" t="s">
        <v>74</v>
      </c>
      <c r="AA8" t="s">
        <v>137</v>
      </c>
      <c r="AB8" t="s">
        <v>138</v>
      </c>
      <c r="AC8" t="s">
        <v>74</v>
      </c>
      <c r="AD8" t="s">
        <v>74</v>
      </c>
      <c r="AE8" t="s">
        <v>74</v>
      </c>
      <c r="AF8" t="s">
        <v>74</v>
      </c>
      <c r="AG8" t="s">
        <v>74</v>
      </c>
      <c r="AH8" t="s">
        <v>74</v>
      </c>
      <c r="AI8" t="s">
        <v>74</v>
      </c>
      <c r="AJ8" t="s">
        <v>74</v>
      </c>
      <c r="AK8" t="s">
        <v>74</v>
      </c>
      <c r="AL8" t="s">
        <v>74</v>
      </c>
      <c r="AM8" t="s">
        <v>74</v>
      </c>
      <c r="AN8" t="s">
        <v>74</v>
      </c>
      <c r="AO8" t="s">
        <v>139</v>
      </c>
      <c r="AP8" t="s">
        <v>140</v>
      </c>
      <c r="AQ8" t="s">
        <v>74</v>
      </c>
      <c r="AR8" t="s">
        <v>74</v>
      </c>
      <c r="AS8" t="s">
        <v>74</v>
      </c>
      <c r="AT8" t="s">
        <v>141</v>
      </c>
      <c r="AU8">
        <v>2025</v>
      </c>
      <c r="AV8">
        <v>18</v>
      </c>
      <c r="AW8">
        <v>3</v>
      </c>
      <c r="AX8" t="s">
        <v>74</v>
      </c>
      <c r="AY8" t="s">
        <v>74</v>
      </c>
      <c r="AZ8" t="s">
        <v>74</v>
      </c>
      <c r="BA8" t="s">
        <v>74</v>
      </c>
      <c r="BB8" t="s">
        <v>74</v>
      </c>
      <c r="BC8" t="s">
        <v>74</v>
      </c>
      <c r="BD8">
        <v>477</v>
      </c>
      <c r="BE8" t="s">
        <v>142</v>
      </c>
      <c r="BF8" t="str">
        <f>HYPERLINK("http://dx.doi.org/10.1007/s12145-025-01950-6","http://dx.doi.org/10.1007/s12145-025-01950-6")</f>
        <v>http://dx.doi.org/10.1007/s12145-025-01950-6</v>
      </c>
      <c r="BG8" t="s">
        <v>74</v>
      </c>
      <c r="BH8" t="s">
        <v>74</v>
      </c>
      <c r="BI8" t="s">
        <v>74</v>
      </c>
      <c r="BJ8" t="s">
        <v>74</v>
      </c>
      <c r="BK8" t="s">
        <v>74</v>
      </c>
      <c r="BL8" t="s">
        <v>74</v>
      </c>
      <c r="BM8" t="s">
        <v>74</v>
      </c>
      <c r="BN8" t="s">
        <v>74</v>
      </c>
      <c r="BO8" t="s">
        <v>74</v>
      </c>
      <c r="BP8" t="s">
        <v>74</v>
      </c>
      <c r="BQ8" t="s">
        <v>74</v>
      </c>
      <c r="BR8" t="s">
        <v>74</v>
      </c>
      <c r="BS8" t="s">
        <v>143</v>
      </c>
      <c r="BT8" t="str">
        <f>HYPERLINK("https%3A%2F%2Fwww.webofscience.com%2Fwos%2Fwoscc%2Ffull-record%2FWOS:001538089500001","View Full Record in Web of Science")</f>
        <v>View Full Record in Web of Science</v>
      </c>
    </row>
    <row r="9" spans="1:72" x14ac:dyDescent="0.15">
      <c r="A9" t="s">
        <v>72</v>
      </c>
      <c r="B9" t="s">
        <v>144</v>
      </c>
      <c r="C9" t="s">
        <v>74</v>
      </c>
      <c r="D9" t="s">
        <v>74</v>
      </c>
      <c r="E9" t="s">
        <v>74</v>
      </c>
      <c r="F9" t="s">
        <v>145</v>
      </c>
      <c r="G9" t="s">
        <v>74</v>
      </c>
      <c r="H9" t="s">
        <v>74</v>
      </c>
      <c r="I9" t="s">
        <v>146</v>
      </c>
      <c r="J9" t="s">
        <v>147</v>
      </c>
      <c r="K9" t="s">
        <v>74</v>
      </c>
      <c r="L9" t="s">
        <v>74</v>
      </c>
      <c r="M9" t="s">
        <v>74</v>
      </c>
      <c r="N9" t="s">
        <v>74</v>
      </c>
      <c r="O9" t="s">
        <v>74</v>
      </c>
      <c r="P9" t="s">
        <v>74</v>
      </c>
      <c r="Q9" t="s">
        <v>74</v>
      </c>
      <c r="R9" t="s">
        <v>74</v>
      </c>
      <c r="S9" t="s">
        <v>74</v>
      </c>
      <c r="T9" t="s">
        <v>74</v>
      </c>
      <c r="U9" t="s">
        <v>74</v>
      </c>
      <c r="V9" t="s">
        <v>148</v>
      </c>
      <c r="W9" t="s">
        <v>74</v>
      </c>
      <c r="X9" t="s">
        <v>74</v>
      </c>
      <c r="Y9" t="s">
        <v>74</v>
      </c>
      <c r="Z9" t="s">
        <v>74</v>
      </c>
      <c r="AA9" t="s">
        <v>149</v>
      </c>
      <c r="AB9" t="s">
        <v>150</v>
      </c>
      <c r="AC9" t="s">
        <v>74</v>
      </c>
      <c r="AD9" t="s">
        <v>74</v>
      </c>
      <c r="AE9" t="s">
        <v>74</v>
      </c>
      <c r="AF9" t="s">
        <v>74</v>
      </c>
      <c r="AG9" t="s">
        <v>74</v>
      </c>
      <c r="AH9" t="s">
        <v>74</v>
      </c>
      <c r="AI9" t="s">
        <v>74</v>
      </c>
      <c r="AJ9" t="s">
        <v>74</v>
      </c>
      <c r="AK9" t="s">
        <v>74</v>
      </c>
      <c r="AL9" t="s">
        <v>74</v>
      </c>
      <c r="AM9" t="s">
        <v>74</v>
      </c>
      <c r="AN9" t="s">
        <v>74</v>
      </c>
      <c r="AO9" t="s">
        <v>74</v>
      </c>
      <c r="AP9" t="s">
        <v>151</v>
      </c>
      <c r="AQ9" t="s">
        <v>74</v>
      </c>
      <c r="AR9" t="s">
        <v>74</v>
      </c>
      <c r="AS9" t="s">
        <v>74</v>
      </c>
      <c r="AT9" t="s">
        <v>152</v>
      </c>
      <c r="AU9">
        <v>2025</v>
      </c>
      <c r="AV9">
        <v>17</v>
      </c>
      <c r="AW9">
        <v>15</v>
      </c>
      <c r="AX9" t="s">
        <v>74</v>
      </c>
      <c r="AY9" t="s">
        <v>74</v>
      </c>
      <c r="AZ9" t="s">
        <v>74</v>
      </c>
      <c r="BA9" t="s">
        <v>74</v>
      </c>
      <c r="BB9" t="s">
        <v>74</v>
      </c>
      <c r="BC9" t="s">
        <v>74</v>
      </c>
      <c r="BD9">
        <v>2584</v>
      </c>
      <c r="BE9" t="s">
        <v>153</v>
      </c>
      <c r="BF9" t="str">
        <f>HYPERLINK("http://dx.doi.org/10.3390/rs17152584","http://dx.doi.org/10.3390/rs17152584")</f>
        <v>http://dx.doi.org/10.3390/rs17152584</v>
      </c>
      <c r="BG9" t="s">
        <v>74</v>
      </c>
      <c r="BH9" t="s">
        <v>74</v>
      </c>
      <c r="BI9" t="s">
        <v>74</v>
      </c>
      <c r="BJ9" t="s">
        <v>74</v>
      </c>
      <c r="BK9" t="s">
        <v>74</v>
      </c>
      <c r="BL9" t="s">
        <v>74</v>
      </c>
      <c r="BM9" t="s">
        <v>74</v>
      </c>
      <c r="BN9" t="s">
        <v>74</v>
      </c>
      <c r="BO9" t="s">
        <v>74</v>
      </c>
      <c r="BP9" t="s">
        <v>74</v>
      </c>
      <c r="BQ9" t="s">
        <v>74</v>
      </c>
      <c r="BR9" t="s">
        <v>74</v>
      </c>
      <c r="BS9" t="s">
        <v>154</v>
      </c>
      <c r="BT9" t="str">
        <f>HYPERLINK("https%3A%2F%2Fwww.webofscience.com%2Fwos%2Fwoscc%2Ffull-record%2FWOS:001549552300001","View Full Record in Web of Science")</f>
        <v>View Full Record in Web of Science</v>
      </c>
    </row>
    <row r="10" spans="1:72" x14ac:dyDescent="0.15">
      <c r="A10" t="s">
        <v>72</v>
      </c>
      <c r="B10" t="s">
        <v>155</v>
      </c>
      <c r="C10" t="s">
        <v>74</v>
      </c>
      <c r="D10" t="s">
        <v>74</v>
      </c>
      <c r="E10" t="s">
        <v>74</v>
      </c>
      <c r="F10" t="s">
        <v>156</v>
      </c>
      <c r="G10" t="s">
        <v>74</v>
      </c>
      <c r="H10" t="s">
        <v>74</v>
      </c>
      <c r="I10" t="s">
        <v>157</v>
      </c>
      <c r="J10" t="s">
        <v>158</v>
      </c>
      <c r="K10" t="s">
        <v>74</v>
      </c>
      <c r="L10" t="s">
        <v>74</v>
      </c>
      <c r="M10" t="s">
        <v>74</v>
      </c>
      <c r="N10" t="s">
        <v>74</v>
      </c>
      <c r="O10" t="s">
        <v>74</v>
      </c>
      <c r="P10" t="s">
        <v>74</v>
      </c>
      <c r="Q10" t="s">
        <v>74</v>
      </c>
      <c r="R10" t="s">
        <v>74</v>
      </c>
      <c r="S10" t="s">
        <v>74</v>
      </c>
      <c r="T10" t="s">
        <v>74</v>
      </c>
      <c r="U10" t="s">
        <v>74</v>
      </c>
      <c r="V10" t="s">
        <v>159</v>
      </c>
      <c r="W10" t="s">
        <v>74</v>
      </c>
      <c r="X10" t="s">
        <v>74</v>
      </c>
      <c r="Y10" t="s">
        <v>74</v>
      </c>
      <c r="Z10" t="s">
        <v>74</v>
      </c>
      <c r="AA10" t="s">
        <v>88</v>
      </c>
      <c r="AB10" t="s">
        <v>160</v>
      </c>
      <c r="AC10" t="s">
        <v>74</v>
      </c>
      <c r="AD10" t="s">
        <v>74</v>
      </c>
      <c r="AE10" t="s">
        <v>74</v>
      </c>
      <c r="AF10" t="s">
        <v>74</v>
      </c>
      <c r="AG10" t="s">
        <v>74</v>
      </c>
      <c r="AH10" t="s">
        <v>74</v>
      </c>
      <c r="AI10" t="s">
        <v>74</v>
      </c>
      <c r="AJ10" t="s">
        <v>74</v>
      </c>
      <c r="AK10" t="s">
        <v>74</v>
      </c>
      <c r="AL10" t="s">
        <v>74</v>
      </c>
      <c r="AM10" t="s">
        <v>74</v>
      </c>
      <c r="AN10" t="s">
        <v>74</v>
      </c>
      <c r="AO10" t="s">
        <v>161</v>
      </c>
      <c r="AP10" t="s">
        <v>162</v>
      </c>
      <c r="AQ10" t="s">
        <v>74</v>
      </c>
      <c r="AR10" t="s">
        <v>74</v>
      </c>
      <c r="AS10" t="s">
        <v>74</v>
      </c>
      <c r="AT10" t="s">
        <v>163</v>
      </c>
      <c r="AU10">
        <v>2025</v>
      </c>
      <c r="AV10">
        <v>661</v>
      </c>
      <c r="AW10" t="s">
        <v>74</v>
      </c>
      <c r="AX10" t="s">
        <v>164</v>
      </c>
      <c r="AY10" t="s">
        <v>74</v>
      </c>
      <c r="AZ10" t="s">
        <v>74</v>
      </c>
      <c r="BA10" t="s">
        <v>74</v>
      </c>
      <c r="BB10" t="s">
        <v>74</v>
      </c>
      <c r="BC10" t="s">
        <v>74</v>
      </c>
      <c r="BD10">
        <v>133593</v>
      </c>
      <c r="BE10" t="s">
        <v>165</v>
      </c>
      <c r="BF10" t="str">
        <f>HYPERLINK("http://dx.doi.org/10.1016/j.jhydrol.2025.133593","http://dx.doi.org/10.1016/j.jhydrol.2025.133593")</f>
        <v>http://dx.doi.org/10.1016/j.jhydrol.2025.133593</v>
      </c>
      <c r="BG10" t="s">
        <v>74</v>
      </c>
      <c r="BH10" t="s">
        <v>166</v>
      </c>
      <c r="BI10" t="s">
        <v>74</v>
      </c>
      <c r="BJ10" t="s">
        <v>74</v>
      </c>
      <c r="BK10" t="s">
        <v>74</v>
      </c>
      <c r="BL10" t="s">
        <v>74</v>
      </c>
      <c r="BM10" t="s">
        <v>74</v>
      </c>
      <c r="BN10" t="s">
        <v>74</v>
      </c>
      <c r="BO10" t="s">
        <v>74</v>
      </c>
      <c r="BP10" t="s">
        <v>74</v>
      </c>
      <c r="BQ10" t="s">
        <v>74</v>
      </c>
      <c r="BR10" t="s">
        <v>74</v>
      </c>
      <c r="BS10" t="s">
        <v>167</v>
      </c>
      <c r="BT10" t="str">
        <f>HYPERLINK("https%3A%2F%2Fwww.webofscience.com%2Fwos%2Fwoscc%2Ffull-record%2FWOS:001504904400002","View Full Record in Web of Science")</f>
        <v>View Full Record in Web of Science</v>
      </c>
    </row>
    <row r="11" spans="1:72" x14ac:dyDescent="0.15">
      <c r="A11" t="s">
        <v>72</v>
      </c>
      <c r="B11" t="s">
        <v>168</v>
      </c>
      <c r="C11" t="s">
        <v>74</v>
      </c>
      <c r="D11" t="s">
        <v>74</v>
      </c>
      <c r="E11" t="s">
        <v>74</v>
      </c>
      <c r="F11" t="s">
        <v>169</v>
      </c>
      <c r="G11" t="s">
        <v>74</v>
      </c>
      <c r="H11" t="s">
        <v>74</v>
      </c>
      <c r="I11" t="s">
        <v>170</v>
      </c>
      <c r="J11" t="s">
        <v>171</v>
      </c>
      <c r="K11" t="s">
        <v>74</v>
      </c>
      <c r="L11" t="s">
        <v>74</v>
      </c>
      <c r="M11" t="s">
        <v>74</v>
      </c>
      <c r="N11" t="s">
        <v>74</v>
      </c>
      <c r="O11" t="s">
        <v>74</v>
      </c>
      <c r="P11" t="s">
        <v>74</v>
      </c>
      <c r="Q11" t="s">
        <v>74</v>
      </c>
      <c r="R11" t="s">
        <v>74</v>
      </c>
      <c r="S11" t="s">
        <v>74</v>
      </c>
      <c r="T11" t="s">
        <v>74</v>
      </c>
      <c r="U11" t="s">
        <v>74</v>
      </c>
      <c r="V11" t="s">
        <v>172</v>
      </c>
      <c r="W11" t="s">
        <v>74</v>
      </c>
      <c r="X11" t="s">
        <v>74</v>
      </c>
      <c r="Y11" t="s">
        <v>74</v>
      </c>
      <c r="Z11" t="s">
        <v>74</v>
      </c>
      <c r="AA11" t="s">
        <v>173</v>
      </c>
      <c r="AB11" t="s">
        <v>174</v>
      </c>
      <c r="AC11" t="s">
        <v>74</v>
      </c>
      <c r="AD11" t="s">
        <v>74</v>
      </c>
      <c r="AE11" t="s">
        <v>74</v>
      </c>
      <c r="AF11" t="s">
        <v>74</v>
      </c>
      <c r="AG11" t="s">
        <v>74</v>
      </c>
      <c r="AH11" t="s">
        <v>74</v>
      </c>
      <c r="AI11" t="s">
        <v>74</v>
      </c>
      <c r="AJ11" t="s">
        <v>74</v>
      </c>
      <c r="AK11" t="s">
        <v>74</v>
      </c>
      <c r="AL11" t="s">
        <v>74</v>
      </c>
      <c r="AM11" t="s">
        <v>74</v>
      </c>
      <c r="AN11" t="s">
        <v>74</v>
      </c>
      <c r="AO11" t="s">
        <v>175</v>
      </c>
      <c r="AP11" t="s">
        <v>176</v>
      </c>
      <c r="AQ11" t="s">
        <v>74</v>
      </c>
      <c r="AR11" t="s">
        <v>74</v>
      </c>
      <c r="AS11" t="s">
        <v>74</v>
      </c>
      <c r="AT11" t="s">
        <v>177</v>
      </c>
      <c r="AU11">
        <v>2025</v>
      </c>
      <c r="AV11">
        <v>39</v>
      </c>
      <c r="AW11">
        <v>12</v>
      </c>
      <c r="AX11" t="s">
        <v>74</v>
      </c>
      <c r="AY11" t="s">
        <v>74</v>
      </c>
      <c r="AZ11" t="s">
        <v>74</v>
      </c>
      <c r="BA11" t="s">
        <v>74</v>
      </c>
      <c r="BB11">
        <v>6053</v>
      </c>
      <c r="BC11">
        <v>6071</v>
      </c>
      <c r="BD11" t="s">
        <v>74</v>
      </c>
      <c r="BE11" t="s">
        <v>178</v>
      </c>
      <c r="BF11" t="str">
        <f>HYPERLINK("http://dx.doi.org/10.1007/s11269-025-04240-4","http://dx.doi.org/10.1007/s11269-025-04240-4")</f>
        <v>http://dx.doi.org/10.1007/s11269-025-04240-4</v>
      </c>
      <c r="BG11" t="s">
        <v>74</v>
      </c>
      <c r="BH11" t="s">
        <v>179</v>
      </c>
      <c r="BI11" t="s">
        <v>74</v>
      </c>
      <c r="BJ11" t="s">
        <v>74</v>
      </c>
      <c r="BK11" t="s">
        <v>74</v>
      </c>
      <c r="BL11" t="s">
        <v>74</v>
      </c>
      <c r="BM11" t="s">
        <v>74</v>
      </c>
      <c r="BN11" t="s">
        <v>74</v>
      </c>
      <c r="BO11" t="s">
        <v>74</v>
      </c>
      <c r="BP11" t="s">
        <v>74</v>
      </c>
      <c r="BQ11" t="s">
        <v>74</v>
      </c>
      <c r="BR11" t="s">
        <v>74</v>
      </c>
      <c r="BS11" t="s">
        <v>180</v>
      </c>
      <c r="BT11" t="str">
        <f>HYPERLINK("https%3A%2F%2Fwww.webofscience.com%2Fwos%2Fwoscc%2Ffull-record%2FWOS:001489326400001","View Full Record in Web of Science")</f>
        <v>View Full Record in Web of Science</v>
      </c>
    </row>
    <row r="12" spans="1:72" x14ac:dyDescent="0.15">
      <c r="A12" t="s">
        <v>72</v>
      </c>
      <c r="B12" t="s">
        <v>181</v>
      </c>
      <c r="C12" t="s">
        <v>74</v>
      </c>
      <c r="D12" t="s">
        <v>74</v>
      </c>
      <c r="E12" t="s">
        <v>74</v>
      </c>
      <c r="F12" t="s">
        <v>182</v>
      </c>
      <c r="G12" t="s">
        <v>74</v>
      </c>
      <c r="H12" t="s">
        <v>74</v>
      </c>
      <c r="I12" t="s">
        <v>183</v>
      </c>
      <c r="J12" t="s">
        <v>184</v>
      </c>
      <c r="K12" t="s">
        <v>74</v>
      </c>
      <c r="L12" t="s">
        <v>74</v>
      </c>
      <c r="M12" t="s">
        <v>74</v>
      </c>
      <c r="N12" t="s">
        <v>74</v>
      </c>
      <c r="O12" t="s">
        <v>74</v>
      </c>
      <c r="P12" t="s">
        <v>74</v>
      </c>
      <c r="Q12" t="s">
        <v>74</v>
      </c>
      <c r="R12" t="s">
        <v>74</v>
      </c>
      <c r="S12" t="s">
        <v>74</v>
      </c>
      <c r="T12" t="s">
        <v>74</v>
      </c>
      <c r="U12" t="s">
        <v>74</v>
      </c>
      <c r="V12" t="s">
        <v>185</v>
      </c>
      <c r="W12" t="s">
        <v>74</v>
      </c>
      <c r="X12" t="s">
        <v>74</v>
      </c>
      <c r="Y12" t="s">
        <v>74</v>
      </c>
      <c r="Z12" t="s">
        <v>74</v>
      </c>
      <c r="AA12" t="s">
        <v>186</v>
      </c>
      <c r="AB12" t="s">
        <v>187</v>
      </c>
      <c r="AC12" t="s">
        <v>74</v>
      </c>
      <c r="AD12" t="s">
        <v>74</v>
      </c>
      <c r="AE12" t="s">
        <v>74</v>
      </c>
      <c r="AF12" t="s">
        <v>74</v>
      </c>
      <c r="AG12" t="s">
        <v>74</v>
      </c>
      <c r="AH12" t="s">
        <v>74</v>
      </c>
      <c r="AI12" t="s">
        <v>74</v>
      </c>
      <c r="AJ12" t="s">
        <v>74</v>
      </c>
      <c r="AK12" t="s">
        <v>74</v>
      </c>
      <c r="AL12" t="s">
        <v>74</v>
      </c>
      <c r="AM12" t="s">
        <v>74</v>
      </c>
      <c r="AN12" t="s">
        <v>74</v>
      </c>
      <c r="AO12" t="s">
        <v>188</v>
      </c>
      <c r="AP12" t="s">
        <v>189</v>
      </c>
      <c r="AQ12" t="s">
        <v>74</v>
      </c>
      <c r="AR12" t="s">
        <v>74</v>
      </c>
      <c r="AS12" t="s">
        <v>74</v>
      </c>
      <c r="AT12" t="s">
        <v>190</v>
      </c>
      <c r="AU12">
        <v>2025</v>
      </c>
      <c r="AV12">
        <v>138</v>
      </c>
      <c r="AW12" t="s">
        <v>74</v>
      </c>
      <c r="AX12" t="s">
        <v>74</v>
      </c>
      <c r="AY12" t="s">
        <v>74</v>
      </c>
      <c r="AZ12" t="s">
        <v>74</v>
      </c>
      <c r="BA12" t="s">
        <v>74</v>
      </c>
      <c r="BB12" t="s">
        <v>74</v>
      </c>
      <c r="BC12" t="s">
        <v>74</v>
      </c>
      <c r="BD12">
        <v>104467</v>
      </c>
      <c r="BE12" t="s">
        <v>191</v>
      </c>
      <c r="BF12" t="str">
        <f>HYPERLINK("http://dx.doi.org/10.1016/j.jag.2025.104467","http://dx.doi.org/10.1016/j.jag.2025.104467")</f>
        <v>http://dx.doi.org/10.1016/j.jag.2025.104467</v>
      </c>
      <c r="BG12" t="s">
        <v>74</v>
      </c>
      <c r="BH12" t="s">
        <v>192</v>
      </c>
      <c r="BI12" t="s">
        <v>74</v>
      </c>
      <c r="BJ12" t="s">
        <v>74</v>
      </c>
      <c r="BK12" t="s">
        <v>74</v>
      </c>
      <c r="BL12" t="s">
        <v>74</v>
      </c>
      <c r="BM12" t="s">
        <v>74</v>
      </c>
      <c r="BN12" t="s">
        <v>74</v>
      </c>
      <c r="BO12" t="s">
        <v>74</v>
      </c>
      <c r="BP12" t="s">
        <v>74</v>
      </c>
      <c r="BQ12" t="s">
        <v>74</v>
      </c>
      <c r="BR12" t="s">
        <v>74</v>
      </c>
      <c r="BS12" t="s">
        <v>193</v>
      </c>
      <c r="BT12" t="str">
        <f>HYPERLINK("https%3A%2F%2Fwww.webofscience.com%2Fwos%2Fwoscc%2Ffull-record%2FWOS:001447293400001","View Full Record in Web of Science")</f>
        <v>View Full Record in Web of Science</v>
      </c>
    </row>
    <row r="13" spans="1:72" x14ac:dyDescent="0.15">
      <c r="A13" t="s">
        <v>72</v>
      </c>
      <c r="B13" t="s">
        <v>194</v>
      </c>
      <c r="C13" t="s">
        <v>74</v>
      </c>
      <c r="D13" t="s">
        <v>74</v>
      </c>
      <c r="E13" t="s">
        <v>74</v>
      </c>
      <c r="F13" t="s">
        <v>195</v>
      </c>
      <c r="G13" t="s">
        <v>74</v>
      </c>
      <c r="H13" t="s">
        <v>74</v>
      </c>
      <c r="I13" t="s">
        <v>196</v>
      </c>
      <c r="J13" t="s">
        <v>184</v>
      </c>
      <c r="K13" t="s">
        <v>74</v>
      </c>
      <c r="L13" t="s">
        <v>74</v>
      </c>
      <c r="M13" t="s">
        <v>74</v>
      </c>
      <c r="N13" t="s">
        <v>74</v>
      </c>
      <c r="O13" t="s">
        <v>74</v>
      </c>
      <c r="P13" t="s">
        <v>74</v>
      </c>
      <c r="Q13" t="s">
        <v>74</v>
      </c>
      <c r="R13" t="s">
        <v>74</v>
      </c>
      <c r="S13" t="s">
        <v>74</v>
      </c>
      <c r="T13" t="s">
        <v>74</v>
      </c>
      <c r="U13" t="s">
        <v>74</v>
      </c>
      <c r="V13" t="s">
        <v>197</v>
      </c>
      <c r="W13" t="s">
        <v>74</v>
      </c>
      <c r="X13" t="s">
        <v>74</v>
      </c>
      <c r="Y13" t="s">
        <v>74</v>
      </c>
      <c r="Z13" t="s">
        <v>74</v>
      </c>
      <c r="AA13" t="s">
        <v>74</v>
      </c>
      <c r="AB13" t="s">
        <v>198</v>
      </c>
      <c r="AC13" t="s">
        <v>74</v>
      </c>
      <c r="AD13" t="s">
        <v>74</v>
      </c>
      <c r="AE13" t="s">
        <v>74</v>
      </c>
      <c r="AF13" t="s">
        <v>74</v>
      </c>
      <c r="AG13" t="s">
        <v>74</v>
      </c>
      <c r="AH13" t="s">
        <v>74</v>
      </c>
      <c r="AI13" t="s">
        <v>74</v>
      </c>
      <c r="AJ13" t="s">
        <v>74</v>
      </c>
      <c r="AK13" t="s">
        <v>74</v>
      </c>
      <c r="AL13" t="s">
        <v>74</v>
      </c>
      <c r="AM13" t="s">
        <v>74</v>
      </c>
      <c r="AN13" t="s">
        <v>74</v>
      </c>
      <c r="AO13" t="s">
        <v>188</v>
      </c>
      <c r="AP13" t="s">
        <v>189</v>
      </c>
      <c r="AQ13" t="s">
        <v>74</v>
      </c>
      <c r="AR13" t="s">
        <v>74</v>
      </c>
      <c r="AS13" t="s">
        <v>74</v>
      </c>
      <c r="AT13" t="s">
        <v>199</v>
      </c>
      <c r="AU13">
        <v>2025</v>
      </c>
      <c r="AV13">
        <v>139</v>
      </c>
      <c r="AW13" t="s">
        <v>74</v>
      </c>
      <c r="AX13" t="s">
        <v>74</v>
      </c>
      <c r="AY13" t="s">
        <v>74</v>
      </c>
      <c r="AZ13" t="s">
        <v>74</v>
      </c>
      <c r="BA13" t="s">
        <v>74</v>
      </c>
      <c r="BB13" t="s">
        <v>74</v>
      </c>
      <c r="BC13" t="s">
        <v>74</v>
      </c>
      <c r="BD13">
        <v>104533</v>
      </c>
      <c r="BE13" t="s">
        <v>200</v>
      </c>
      <c r="BF13" t="str">
        <f>HYPERLINK("http://dx.doi.org/10.1016/j.jag.2025.104533","http://dx.doi.org/10.1016/j.jag.2025.104533")</f>
        <v>http://dx.doi.org/10.1016/j.jag.2025.104533</v>
      </c>
      <c r="BG13" t="s">
        <v>74</v>
      </c>
      <c r="BH13" t="s">
        <v>192</v>
      </c>
      <c r="BI13" t="s">
        <v>74</v>
      </c>
      <c r="BJ13" t="s">
        <v>74</v>
      </c>
      <c r="BK13" t="s">
        <v>74</v>
      </c>
      <c r="BL13" t="s">
        <v>74</v>
      </c>
      <c r="BM13" t="s">
        <v>74</v>
      </c>
      <c r="BN13" t="s">
        <v>74</v>
      </c>
      <c r="BO13" t="s">
        <v>74</v>
      </c>
      <c r="BP13" t="s">
        <v>74</v>
      </c>
      <c r="BQ13" t="s">
        <v>74</v>
      </c>
      <c r="BR13" t="s">
        <v>74</v>
      </c>
      <c r="BS13" t="s">
        <v>201</v>
      </c>
      <c r="BT13" t="str">
        <f>HYPERLINK("https%3A%2F%2Fwww.webofscience.com%2Fwos%2Fwoscc%2Ffull-record%2FWOS:001471822100001","View Full Record in Web of Science")</f>
        <v>View Full Record in Web of Science</v>
      </c>
    </row>
    <row r="14" spans="1:72" x14ac:dyDescent="0.15">
      <c r="A14" t="s">
        <v>72</v>
      </c>
      <c r="B14" t="s">
        <v>202</v>
      </c>
      <c r="C14" t="s">
        <v>74</v>
      </c>
      <c r="D14" t="s">
        <v>74</v>
      </c>
      <c r="E14" t="s">
        <v>74</v>
      </c>
      <c r="F14" t="s">
        <v>203</v>
      </c>
      <c r="G14" t="s">
        <v>74</v>
      </c>
      <c r="H14" t="s">
        <v>74</v>
      </c>
      <c r="I14" t="s">
        <v>204</v>
      </c>
      <c r="J14" t="s">
        <v>171</v>
      </c>
      <c r="K14" t="s">
        <v>74</v>
      </c>
      <c r="L14" t="s">
        <v>74</v>
      </c>
      <c r="M14" t="s">
        <v>74</v>
      </c>
      <c r="N14" t="s">
        <v>74</v>
      </c>
      <c r="O14" t="s">
        <v>74</v>
      </c>
      <c r="P14" t="s">
        <v>74</v>
      </c>
      <c r="Q14" t="s">
        <v>74</v>
      </c>
      <c r="R14" t="s">
        <v>74</v>
      </c>
      <c r="S14" t="s">
        <v>74</v>
      </c>
      <c r="T14" t="s">
        <v>74</v>
      </c>
      <c r="U14" t="s">
        <v>74</v>
      </c>
      <c r="V14" t="s">
        <v>205</v>
      </c>
      <c r="W14" t="s">
        <v>74</v>
      </c>
      <c r="X14" t="s">
        <v>74</v>
      </c>
      <c r="Y14" t="s">
        <v>74</v>
      </c>
      <c r="Z14" t="s">
        <v>74</v>
      </c>
      <c r="AA14" t="s">
        <v>206</v>
      </c>
      <c r="AB14" t="s">
        <v>207</v>
      </c>
      <c r="AC14" t="s">
        <v>74</v>
      </c>
      <c r="AD14" t="s">
        <v>74</v>
      </c>
      <c r="AE14" t="s">
        <v>74</v>
      </c>
      <c r="AF14" t="s">
        <v>74</v>
      </c>
      <c r="AG14" t="s">
        <v>74</v>
      </c>
      <c r="AH14" t="s">
        <v>74</v>
      </c>
      <c r="AI14" t="s">
        <v>74</v>
      </c>
      <c r="AJ14" t="s">
        <v>74</v>
      </c>
      <c r="AK14" t="s">
        <v>74</v>
      </c>
      <c r="AL14" t="s">
        <v>74</v>
      </c>
      <c r="AM14" t="s">
        <v>74</v>
      </c>
      <c r="AN14" t="s">
        <v>74</v>
      </c>
      <c r="AO14" t="s">
        <v>175</v>
      </c>
      <c r="AP14" t="s">
        <v>176</v>
      </c>
      <c r="AQ14" t="s">
        <v>74</v>
      </c>
      <c r="AR14" t="s">
        <v>74</v>
      </c>
      <c r="AS14" t="s">
        <v>74</v>
      </c>
      <c r="AT14" t="s">
        <v>208</v>
      </c>
      <c r="AU14">
        <v>2025</v>
      </c>
      <c r="AV14">
        <v>39</v>
      </c>
      <c r="AW14">
        <v>9</v>
      </c>
      <c r="AX14" t="s">
        <v>74</v>
      </c>
      <c r="AY14" t="s">
        <v>74</v>
      </c>
      <c r="AZ14" t="s">
        <v>74</v>
      </c>
      <c r="BA14" t="s">
        <v>74</v>
      </c>
      <c r="BB14">
        <v>4471</v>
      </c>
      <c r="BC14">
        <v>4491</v>
      </c>
      <c r="BD14" t="s">
        <v>74</v>
      </c>
      <c r="BE14" t="s">
        <v>209</v>
      </c>
      <c r="BF14" t="str">
        <f>HYPERLINK("http://dx.doi.org/10.1007/s11269-025-04164-z","http://dx.doi.org/10.1007/s11269-025-04164-z")</f>
        <v>http://dx.doi.org/10.1007/s11269-025-04164-z</v>
      </c>
      <c r="BG14" t="s">
        <v>74</v>
      </c>
      <c r="BH14" t="s">
        <v>192</v>
      </c>
      <c r="BI14" t="s">
        <v>74</v>
      </c>
      <c r="BJ14" t="s">
        <v>74</v>
      </c>
      <c r="BK14" t="s">
        <v>74</v>
      </c>
      <c r="BL14" t="s">
        <v>74</v>
      </c>
      <c r="BM14" t="s">
        <v>74</v>
      </c>
      <c r="BN14" t="s">
        <v>74</v>
      </c>
      <c r="BO14" t="s">
        <v>74</v>
      </c>
      <c r="BP14" t="s">
        <v>74</v>
      </c>
      <c r="BQ14" t="s">
        <v>74</v>
      </c>
      <c r="BR14" t="s">
        <v>74</v>
      </c>
      <c r="BS14" t="s">
        <v>210</v>
      </c>
      <c r="BT14" t="str">
        <f>HYPERLINK("https%3A%2F%2Fwww.webofscience.com%2Fwos%2Fwoscc%2Ffull-record%2FWOS:001459610300001","View Full Record in Web of Science")</f>
        <v>View Full Record in Web of Science</v>
      </c>
    </row>
    <row r="15" spans="1:72" x14ac:dyDescent="0.15">
      <c r="A15" t="s">
        <v>72</v>
      </c>
      <c r="B15" t="s">
        <v>211</v>
      </c>
      <c r="C15" t="s">
        <v>74</v>
      </c>
      <c r="D15" t="s">
        <v>74</v>
      </c>
      <c r="E15" t="s">
        <v>74</v>
      </c>
      <c r="F15" t="s">
        <v>212</v>
      </c>
      <c r="G15" t="s">
        <v>74</v>
      </c>
      <c r="H15" t="s">
        <v>74</v>
      </c>
      <c r="I15" t="s">
        <v>213</v>
      </c>
      <c r="J15" t="s">
        <v>214</v>
      </c>
      <c r="K15" t="s">
        <v>74</v>
      </c>
      <c r="L15" t="s">
        <v>74</v>
      </c>
      <c r="M15" t="s">
        <v>74</v>
      </c>
      <c r="N15" t="s">
        <v>74</v>
      </c>
      <c r="O15" t="s">
        <v>74</v>
      </c>
      <c r="P15" t="s">
        <v>74</v>
      </c>
      <c r="Q15" t="s">
        <v>74</v>
      </c>
      <c r="R15" t="s">
        <v>74</v>
      </c>
      <c r="S15" t="s">
        <v>74</v>
      </c>
      <c r="T15" t="s">
        <v>74</v>
      </c>
      <c r="U15" t="s">
        <v>74</v>
      </c>
      <c r="V15" t="s">
        <v>215</v>
      </c>
      <c r="W15" t="s">
        <v>74</v>
      </c>
      <c r="X15" t="s">
        <v>74</v>
      </c>
      <c r="Y15" t="s">
        <v>74</v>
      </c>
      <c r="Z15" t="s">
        <v>74</v>
      </c>
      <c r="AA15" t="s">
        <v>216</v>
      </c>
      <c r="AB15" t="s">
        <v>74</v>
      </c>
      <c r="AC15" t="s">
        <v>74</v>
      </c>
      <c r="AD15" t="s">
        <v>74</v>
      </c>
      <c r="AE15" t="s">
        <v>74</v>
      </c>
      <c r="AF15" t="s">
        <v>74</v>
      </c>
      <c r="AG15" t="s">
        <v>74</v>
      </c>
      <c r="AH15" t="s">
        <v>74</v>
      </c>
      <c r="AI15" t="s">
        <v>74</v>
      </c>
      <c r="AJ15" t="s">
        <v>74</v>
      </c>
      <c r="AK15" t="s">
        <v>74</v>
      </c>
      <c r="AL15" t="s">
        <v>74</v>
      </c>
      <c r="AM15" t="s">
        <v>74</v>
      </c>
      <c r="AN15" t="s">
        <v>74</v>
      </c>
      <c r="AO15" t="s">
        <v>217</v>
      </c>
      <c r="AP15" t="s">
        <v>218</v>
      </c>
      <c r="AQ15" t="s">
        <v>74</v>
      </c>
      <c r="AR15" t="s">
        <v>74</v>
      </c>
      <c r="AS15" t="s">
        <v>74</v>
      </c>
      <c r="AT15" t="s">
        <v>219</v>
      </c>
      <c r="AU15">
        <v>2025</v>
      </c>
      <c r="AV15">
        <v>93</v>
      </c>
      <c r="AW15">
        <v>3</v>
      </c>
      <c r="AX15" t="s">
        <v>74</v>
      </c>
      <c r="AY15" t="s">
        <v>74</v>
      </c>
      <c r="AZ15" t="s">
        <v>74</v>
      </c>
      <c r="BA15" t="s">
        <v>74</v>
      </c>
      <c r="BB15">
        <v>231</v>
      </c>
      <c r="BC15">
        <v>250</v>
      </c>
      <c r="BD15" t="s">
        <v>74</v>
      </c>
      <c r="BE15" t="s">
        <v>220</v>
      </c>
      <c r="BF15" t="str">
        <f>HYPERLINK("http://dx.doi.org/10.1007/s41064-025-00338-x","http://dx.doi.org/10.1007/s41064-025-00338-x")</f>
        <v>http://dx.doi.org/10.1007/s41064-025-00338-x</v>
      </c>
      <c r="BG15" t="s">
        <v>74</v>
      </c>
      <c r="BH15" t="s">
        <v>192</v>
      </c>
      <c r="BI15" t="s">
        <v>74</v>
      </c>
      <c r="BJ15" t="s">
        <v>74</v>
      </c>
      <c r="BK15" t="s">
        <v>74</v>
      </c>
      <c r="BL15" t="s">
        <v>74</v>
      </c>
      <c r="BM15" t="s">
        <v>74</v>
      </c>
      <c r="BN15" t="s">
        <v>74</v>
      </c>
      <c r="BO15" t="s">
        <v>74</v>
      </c>
      <c r="BP15" t="s">
        <v>74</v>
      </c>
      <c r="BQ15" t="s">
        <v>74</v>
      </c>
      <c r="BR15" t="s">
        <v>74</v>
      </c>
      <c r="BS15" t="s">
        <v>221</v>
      </c>
      <c r="BT15" t="str">
        <f>HYPERLINK("https%3A%2F%2Fwww.webofscience.com%2Fwos%2Fwoscc%2Ffull-record%2FWOS:001459026000001","View Full Record in Web of Science")</f>
        <v>View Full Record in Web of Science</v>
      </c>
    </row>
    <row r="16" spans="1:72" x14ac:dyDescent="0.15">
      <c r="A16" t="s">
        <v>72</v>
      </c>
      <c r="B16" t="s">
        <v>222</v>
      </c>
      <c r="C16" t="s">
        <v>74</v>
      </c>
      <c r="D16" t="s">
        <v>74</v>
      </c>
      <c r="E16" t="s">
        <v>74</v>
      </c>
      <c r="F16" t="s">
        <v>133</v>
      </c>
      <c r="G16" t="s">
        <v>74</v>
      </c>
      <c r="H16" t="s">
        <v>74</v>
      </c>
      <c r="I16" t="s">
        <v>223</v>
      </c>
      <c r="J16" t="s">
        <v>158</v>
      </c>
      <c r="K16" t="s">
        <v>74</v>
      </c>
      <c r="L16" t="s">
        <v>74</v>
      </c>
      <c r="M16" t="s">
        <v>74</v>
      </c>
      <c r="N16" t="s">
        <v>74</v>
      </c>
      <c r="O16" t="s">
        <v>74</v>
      </c>
      <c r="P16" t="s">
        <v>74</v>
      </c>
      <c r="Q16" t="s">
        <v>74</v>
      </c>
      <c r="R16" t="s">
        <v>74</v>
      </c>
      <c r="S16" t="s">
        <v>74</v>
      </c>
      <c r="T16" t="s">
        <v>74</v>
      </c>
      <c r="U16" t="s">
        <v>74</v>
      </c>
      <c r="V16" t="s">
        <v>224</v>
      </c>
      <c r="W16" t="s">
        <v>74</v>
      </c>
      <c r="X16" t="s">
        <v>74</v>
      </c>
      <c r="Y16" t="s">
        <v>74</v>
      </c>
      <c r="Z16" t="s">
        <v>74</v>
      </c>
      <c r="AA16" t="s">
        <v>137</v>
      </c>
      <c r="AB16" t="s">
        <v>225</v>
      </c>
      <c r="AC16" t="s">
        <v>74</v>
      </c>
      <c r="AD16" t="s">
        <v>74</v>
      </c>
      <c r="AE16" t="s">
        <v>74</v>
      </c>
      <c r="AF16" t="s">
        <v>74</v>
      </c>
      <c r="AG16" t="s">
        <v>74</v>
      </c>
      <c r="AH16" t="s">
        <v>74</v>
      </c>
      <c r="AI16" t="s">
        <v>74</v>
      </c>
      <c r="AJ16" t="s">
        <v>74</v>
      </c>
      <c r="AK16" t="s">
        <v>74</v>
      </c>
      <c r="AL16" t="s">
        <v>74</v>
      </c>
      <c r="AM16" t="s">
        <v>74</v>
      </c>
      <c r="AN16" t="s">
        <v>74</v>
      </c>
      <c r="AO16" t="s">
        <v>161</v>
      </c>
      <c r="AP16" t="s">
        <v>162</v>
      </c>
      <c r="AQ16" t="s">
        <v>74</v>
      </c>
      <c r="AR16" t="s">
        <v>74</v>
      </c>
      <c r="AS16" t="s">
        <v>74</v>
      </c>
      <c r="AT16" t="s">
        <v>219</v>
      </c>
      <c r="AU16">
        <v>2025</v>
      </c>
      <c r="AV16">
        <v>654</v>
      </c>
      <c r="AW16" t="s">
        <v>74</v>
      </c>
      <c r="AX16" t="s">
        <v>74</v>
      </c>
      <c r="AY16" t="s">
        <v>74</v>
      </c>
      <c r="AZ16" t="s">
        <v>74</v>
      </c>
      <c r="BA16" t="s">
        <v>74</v>
      </c>
      <c r="BB16" t="s">
        <v>74</v>
      </c>
      <c r="BC16" t="s">
        <v>74</v>
      </c>
      <c r="BD16">
        <v>132855</v>
      </c>
      <c r="BE16" t="s">
        <v>226</v>
      </c>
      <c r="BF16" t="str">
        <f>HYPERLINK("http://dx.doi.org/10.1016/j.jhydrol.2025.132855","http://dx.doi.org/10.1016/j.jhydrol.2025.132855")</f>
        <v>http://dx.doi.org/10.1016/j.jhydrol.2025.132855</v>
      </c>
      <c r="BG16" t="s">
        <v>74</v>
      </c>
      <c r="BH16" t="s">
        <v>227</v>
      </c>
      <c r="BI16" t="s">
        <v>74</v>
      </c>
      <c r="BJ16" t="s">
        <v>74</v>
      </c>
      <c r="BK16" t="s">
        <v>74</v>
      </c>
      <c r="BL16" t="s">
        <v>74</v>
      </c>
      <c r="BM16" t="s">
        <v>74</v>
      </c>
      <c r="BN16" t="s">
        <v>74</v>
      </c>
      <c r="BO16" t="s">
        <v>74</v>
      </c>
      <c r="BP16" t="s">
        <v>74</v>
      </c>
      <c r="BQ16" t="s">
        <v>74</v>
      </c>
      <c r="BR16" t="s">
        <v>74</v>
      </c>
      <c r="BS16" t="s">
        <v>228</v>
      </c>
      <c r="BT16" t="str">
        <f>HYPERLINK("https%3A%2F%2Fwww.webofscience.com%2Fwos%2Fwoscc%2Ffull-record%2FWOS:001433637500001","View Full Record in Web of Science")</f>
        <v>View Full Record in Web of Science</v>
      </c>
    </row>
    <row r="17" spans="1:72" x14ac:dyDescent="0.15">
      <c r="A17" t="s">
        <v>72</v>
      </c>
      <c r="B17" t="s">
        <v>229</v>
      </c>
      <c r="C17" t="s">
        <v>74</v>
      </c>
      <c r="D17" t="s">
        <v>74</v>
      </c>
      <c r="E17" t="s">
        <v>74</v>
      </c>
      <c r="F17" t="s">
        <v>230</v>
      </c>
      <c r="G17" t="s">
        <v>74</v>
      </c>
      <c r="H17" t="s">
        <v>74</v>
      </c>
      <c r="I17" t="s">
        <v>231</v>
      </c>
      <c r="J17" t="s">
        <v>232</v>
      </c>
      <c r="K17" t="s">
        <v>74</v>
      </c>
      <c r="L17" t="s">
        <v>74</v>
      </c>
      <c r="M17" t="s">
        <v>74</v>
      </c>
      <c r="N17" t="s">
        <v>74</v>
      </c>
      <c r="O17" t="s">
        <v>74</v>
      </c>
      <c r="P17" t="s">
        <v>74</v>
      </c>
      <c r="Q17" t="s">
        <v>74</v>
      </c>
      <c r="R17" t="s">
        <v>74</v>
      </c>
      <c r="S17" t="s">
        <v>74</v>
      </c>
      <c r="T17" t="s">
        <v>74</v>
      </c>
      <c r="U17" t="s">
        <v>74</v>
      </c>
      <c r="V17" t="s">
        <v>233</v>
      </c>
      <c r="W17" t="s">
        <v>74</v>
      </c>
      <c r="X17" t="s">
        <v>74</v>
      </c>
      <c r="Y17" t="s">
        <v>74</v>
      </c>
      <c r="Z17" t="s">
        <v>74</v>
      </c>
      <c r="AA17" t="s">
        <v>234</v>
      </c>
      <c r="AB17" t="s">
        <v>235</v>
      </c>
      <c r="AC17" t="s">
        <v>74</v>
      </c>
      <c r="AD17" t="s">
        <v>74</v>
      </c>
      <c r="AE17" t="s">
        <v>74</v>
      </c>
      <c r="AF17" t="s">
        <v>74</v>
      </c>
      <c r="AG17" t="s">
        <v>74</v>
      </c>
      <c r="AH17" t="s">
        <v>74</v>
      </c>
      <c r="AI17" t="s">
        <v>74</v>
      </c>
      <c r="AJ17" t="s">
        <v>74</v>
      </c>
      <c r="AK17" t="s">
        <v>74</v>
      </c>
      <c r="AL17" t="s">
        <v>74</v>
      </c>
      <c r="AM17" t="s">
        <v>74</v>
      </c>
      <c r="AN17" t="s">
        <v>74</v>
      </c>
      <c r="AO17" t="s">
        <v>74</v>
      </c>
      <c r="AP17" t="s">
        <v>236</v>
      </c>
      <c r="AQ17" t="s">
        <v>74</v>
      </c>
      <c r="AR17" t="s">
        <v>74</v>
      </c>
      <c r="AS17" t="s">
        <v>74</v>
      </c>
      <c r="AT17" t="s">
        <v>237</v>
      </c>
      <c r="AU17">
        <v>2025</v>
      </c>
      <c r="AV17">
        <v>12</v>
      </c>
      <c r="AW17">
        <v>2</v>
      </c>
      <c r="AX17" t="s">
        <v>74</v>
      </c>
      <c r="AY17" t="s">
        <v>74</v>
      </c>
      <c r="AZ17" t="s">
        <v>74</v>
      </c>
      <c r="BA17" t="s">
        <v>74</v>
      </c>
      <c r="BB17" t="s">
        <v>74</v>
      </c>
      <c r="BC17" t="s">
        <v>74</v>
      </c>
      <c r="BD17" t="s">
        <v>238</v>
      </c>
      <c r="BE17" t="s">
        <v>239</v>
      </c>
      <c r="BF17" t="str">
        <f>HYPERLINK("http://dx.doi.org/10.1029/2024EA003849","http://dx.doi.org/10.1029/2024EA003849")</f>
        <v>http://dx.doi.org/10.1029/2024EA003849</v>
      </c>
      <c r="BG17" t="s">
        <v>74</v>
      </c>
      <c r="BH17" t="s">
        <v>74</v>
      </c>
      <c r="BI17" t="s">
        <v>74</v>
      </c>
      <c r="BJ17" t="s">
        <v>74</v>
      </c>
      <c r="BK17" t="s">
        <v>74</v>
      </c>
      <c r="BL17" t="s">
        <v>74</v>
      </c>
      <c r="BM17" t="s">
        <v>74</v>
      </c>
      <c r="BN17" t="s">
        <v>74</v>
      </c>
      <c r="BO17" t="s">
        <v>74</v>
      </c>
      <c r="BP17" t="s">
        <v>74</v>
      </c>
      <c r="BQ17" t="s">
        <v>74</v>
      </c>
      <c r="BR17" t="s">
        <v>74</v>
      </c>
      <c r="BS17" t="s">
        <v>240</v>
      </c>
      <c r="BT17" t="str">
        <f>HYPERLINK("https%3A%2F%2Fwww.webofscience.com%2Fwos%2Fwoscc%2Ffull-record%2FWOS:001467218000001","View Full Record in Web of Science")</f>
        <v>View Full Record in Web of Science</v>
      </c>
    </row>
    <row r="18" spans="1:72" x14ac:dyDescent="0.15">
      <c r="A18" t="s">
        <v>72</v>
      </c>
      <c r="B18" t="s">
        <v>241</v>
      </c>
      <c r="C18" t="s">
        <v>74</v>
      </c>
      <c r="D18" t="s">
        <v>74</v>
      </c>
      <c r="E18" t="s">
        <v>74</v>
      </c>
      <c r="F18" t="s">
        <v>242</v>
      </c>
      <c r="G18" t="s">
        <v>74</v>
      </c>
      <c r="H18" t="s">
        <v>74</v>
      </c>
      <c r="I18" t="s">
        <v>243</v>
      </c>
      <c r="J18" t="s">
        <v>244</v>
      </c>
      <c r="K18" t="s">
        <v>74</v>
      </c>
      <c r="L18" t="s">
        <v>74</v>
      </c>
      <c r="M18" t="s">
        <v>74</v>
      </c>
      <c r="N18" t="s">
        <v>74</v>
      </c>
      <c r="O18" t="s">
        <v>74</v>
      </c>
      <c r="P18" t="s">
        <v>74</v>
      </c>
      <c r="Q18" t="s">
        <v>74</v>
      </c>
      <c r="R18" t="s">
        <v>74</v>
      </c>
      <c r="S18" t="s">
        <v>74</v>
      </c>
      <c r="T18" t="s">
        <v>74</v>
      </c>
      <c r="U18" t="s">
        <v>74</v>
      </c>
      <c r="V18" t="s">
        <v>245</v>
      </c>
      <c r="W18" t="s">
        <v>74</v>
      </c>
      <c r="X18" t="s">
        <v>74</v>
      </c>
      <c r="Y18" t="s">
        <v>74</v>
      </c>
      <c r="Z18" t="s">
        <v>74</v>
      </c>
      <c r="AA18" t="s">
        <v>246</v>
      </c>
      <c r="AB18" t="s">
        <v>247</v>
      </c>
      <c r="AC18" t="s">
        <v>74</v>
      </c>
      <c r="AD18" t="s">
        <v>74</v>
      </c>
      <c r="AE18" t="s">
        <v>74</v>
      </c>
      <c r="AF18" t="s">
        <v>74</v>
      </c>
      <c r="AG18" t="s">
        <v>74</v>
      </c>
      <c r="AH18" t="s">
        <v>74</v>
      </c>
      <c r="AI18" t="s">
        <v>74</v>
      </c>
      <c r="AJ18" t="s">
        <v>74</v>
      </c>
      <c r="AK18" t="s">
        <v>74</v>
      </c>
      <c r="AL18" t="s">
        <v>74</v>
      </c>
      <c r="AM18" t="s">
        <v>74</v>
      </c>
      <c r="AN18" t="s">
        <v>74</v>
      </c>
      <c r="AO18" t="s">
        <v>248</v>
      </c>
      <c r="AP18" t="s">
        <v>249</v>
      </c>
      <c r="AQ18" t="s">
        <v>74</v>
      </c>
      <c r="AR18" t="s">
        <v>74</v>
      </c>
      <c r="AS18" t="s">
        <v>74</v>
      </c>
      <c r="AT18" t="s">
        <v>74</v>
      </c>
      <c r="AU18">
        <v>2025</v>
      </c>
      <c r="AV18">
        <v>18</v>
      </c>
      <c r="AW18" t="s">
        <v>74</v>
      </c>
      <c r="AX18" t="s">
        <v>74</v>
      </c>
      <c r="AY18" t="s">
        <v>74</v>
      </c>
      <c r="AZ18" t="s">
        <v>74</v>
      </c>
      <c r="BA18" t="s">
        <v>74</v>
      </c>
      <c r="BB18">
        <v>27979</v>
      </c>
      <c r="BC18">
        <v>27992</v>
      </c>
      <c r="BD18" t="s">
        <v>74</v>
      </c>
      <c r="BE18" t="s">
        <v>250</v>
      </c>
      <c r="BF18" t="str">
        <f>HYPERLINK("http://dx.doi.org/10.1109/JSTARS.2025.3626728","http://dx.doi.org/10.1109/JSTARS.2025.3626728")</f>
        <v>http://dx.doi.org/10.1109/JSTARS.2025.3626728</v>
      </c>
      <c r="BG18" t="s">
        <v>74</v>
      </c>
      <c r="BH18" t="s">
        <v>74</v>
      </c>
      <c r="BI18" t="s">
        <v>74</v>
      </c>
      <c r="BJ18" t="s">
        <v>74</v>
      </c>
      <c r="BK18" t="s">
        <v>74</v>
      </c>
      <c r="BL18" t="s">
        <v>74</v>
      </c>
      <c r="BM18" t="s">
        <v>74</v>
      </c>
      <c r="BN18" t="s">
        <v>74</v>
      </c>
      <c r="BO18" t="s">
        <v>74</v>
      </c>
      <c r="BP18" t="s">
        <v>74</v>
      </c>
      <c r="BQ18" t="s">
        <v>74</v>
      </c>
      <c r="BR18" t="s">
        <v>74</v>
      </c>
      <c r="BS18" t="s">
        <v>251</v>
      </c>
      <c r="BT18" t="str">
        <f>HYPERLINK("https%3A%2F%2Fwww.webofscience.com%2Fwos%2Fwoscc%2Ffull-record%2FWOS:001626465700006","View Full Record in Web of Science")</f>
        <v>View Full Record in Web of Science</v>
      </c>
    </row>
    <row r="19" spans="1:72" x14ac:dyDescent="0.15">
      <c r="A19" t="s">
        <v>252</v>
      </c>
      <c r="B19" t="s">
        <v>253</v>
      </c>
      <c r="C19" t="s">
        <v>74</v>
      </c>
      <c r="D19" t="s">
        <v>74</v>
      </c>
      <c r="E19" t="s">
        <v>254</v>
      </c>
      <c r="F19" t="s">
        <v>255</v>
      </c>
      <c r="G19" t="s">
        <v>74</v>
      </c>
      <c r="H19" t="s">
        <v>74</v>
      </c>
      <c r="I19" t="s">
        <v>256</v>
      </c>
      <c r="J19" t="s">
        <v>257</v>
      </c>
      <c r="K19" t="s">
        <v>258</v>
      </c>
      <c r="L19" t="s">
        <v>74</v>
      </c>
      <c r="M19" t="s">
        <v>74</v>
      </c>
      <c r="N19" t="s">
        <v>74</v>
      </c>
      <c r="O19" t="s">
        <v>259</v>
      </c>
      <c r="P19" t="s">
        <v>260</v>
      </c>
      <c r="Q19" t="s">
        <v>261</v>
      </c>
      <c r="R19" t="s">
        <v>262</v>
      </c>
      <c r="S19" t="s">
        <v>74</v>
      </c>
      <c r="T19" t="s">
        <v>74</v>
      </c>
      <c r="U19" t="s">
        <v>74</v>
      </c>
      <c r="V19" t="s">
        <v>263</v>
      </c>
      <c r="W19" t="s">
        <v>74</v>
      </c>
      <c r="X19" t="s">
        <v>74</v>
      </c>
      <c r="Y19" t="s">
        <v>74</v>
      </c>
      <c r="Z19" t="s">
        <v>74</v>
      </c>
      <c r="AA19" t="s">
        <v>264</v>
      </c>
      <c r="AB19" t="s">
        <v>74</v>
      </c>
      <c r="AC19" t="s">
        <v>74</v>
      </c>
      <c r="AD19" t="s">
        <v>74</v>
      </c>
      <c r="AE19" t="s">
        <v>74</v>
      </c>
      <c r="AF19" t="s">
        <v>74</v>
      </c>
      <c r="AG19" t="s">
        <v>74</v>
      </c>
      <c r="AH19" t="s">
        <v>74</v>
      </c>
      <c r="AI19" t="s">
        <v>74</v>
      </c>
      <c r="AJ19" t="s">
        <v>74</v>
      </c>
      <c r="AK19" t="s">
        <v>74</v>
      </c>
      <c r="AL19" t="s">
        <v>74</v>
      </c>
      <c r="AM19" t="s">
        <v>74</v>
      </c>
      <c r="AN19" t="s">
        <v>74</v>
      </c>
      <c r="AO19" t="s">
        <v>265</v>
      </c>
      <c r="AP19" t="s">
        <v>74</v>
      </c>
      <c r="AQ19" t="s">
        <v>266</v>
      </c>
      <c r="AR19" t="s">
        <v>74</v>
      </c>
      <c r="AS19" t="s">
        <v>74</v>
      </c>
      <c r="AT19" t="s">
        <v>74</v>
      </c>
      <c r="AU19">
        <v>2025</v>
      </c>
      <c r="AV19" t="s">
        <v>74</v>
      </c>
      <c r="AW19" t="s">
        <v>74</v>
      </c>
      <c r="AX19" t="s">
        <v>74</v>
      </c>
      <c r="AY19" t="s">
        <v>74</v>
      </c>
      <c r="AZ19" t="s">
        <v>74</v>
      </c>
      <c r="BA19" t="s">
        <v>74</v>
      </c>
      <c r="BB19">
        <v>727</v>
      </c>
      <c r="BC19">
        <v>732</v>
      </c>
      <c r="BD19" t="s">
        <v>74</v>
      </c>
      <c r="BE19" t="s">
        <v>267</v>
      </c>
      <c r="BF19" t="str">
        <f>HYPERLINK("http://dx.doi.org/10.1109/IGARSS55030.2025.11242584","http://dx.doi.org/10.1109/IGARSS55030.2025.11242584")</f>
        <v>http://dx.doi.org/10.1109/IGARSS55030.2025.11242584</v>
      </c>
      <c r="BG19" t="s">
        <v>74</v>
      </c>
      <c r="BH19" t="s">
        <v>74</v>
      </c>
      <c r="BI19" t="s">
        <v>74</v>
      </c>
      <c r="BJ19" t="s">
        <v>74</v>
      </c>
      <c r="BK19" t="s">
        <v>74</v>
      </c>
      <c r="BL19" t="s">
        <v>74</v>
      </c>
      <c r="BM19" t="s">
        <v>74</v>
      </c>
      <c r="BN19" t="s">
        <v>74</v>
      </c>
      <c r="BO19" t="s">
        <v>74</v>
      </c>
      <c r="BP19" t="s">
        <v>74</v>
      </c>
      <c r="BQ19" t="s">
        <v>74</v>
      </c>
      <c r="BR19" t="s">
        <v>74</v>
      </c>
      <c r="BS19" t="s">
        <v>268</v>
      </c>
      <c r="BT19" t="str">
        <f>HYPERLINK("https%3A%2F%2Fwww.webofscience.com%2Fwos%2Fwoscc%2Ffull-record%2FWOS:001697407700156","View Full Record in Web of Science")</f>
        <v>View Full Record in Web of Science</v>
      </c>
    </row>
    <row r="20" spans="1:72" x14ac:dyDescent="0.15">
      <c r="A20" t="s">
        <v>72</v>
      </c>
      <c r="B20" t="s">
        <v>269</v>
      </c>
      <c r="C20" t="s">
        <v>74</v>
      </c>
      <c r="D20" t="s">
        <v>74</v>
      </c>
      <c r="E20" t="s">
        <v>74</v>
      </c>
      <c r="F20" t="s">
        <v>270</v>
      </c>
      <c r="G20" t="s">
        <v>74</v>
      </c>
      <c r="H20" t="s">
        <v>74</v>
      </c>
      <c r="I20" t="s">
        <v>271</v>
      </c>
      <c r="J20" t="s">
        <v>244</v>
      </c>
      <c r="K20" t="s">
        <v>74</v>
      </c>
      <c r="L20" t="s">
        <v>74</v>
      </c>
      <c r="M20" t="s">
        <v>74</v>
      </c>
      <c r="N20" t="s">
        <v>74</v>
      </c>
      <c r="O20" t="s">
        <v>74</v>
      </c>
      <c r="P20" t="s">
        <v>74</v>
      </c>
      <c r="Q20" t="s">
        <v>74</v>
      </c>
      <c r="R20" t="s">
        <v>74</v>
      </c>
      <c r="S20" t="s">
        <v>74</v>
      </c>
      <c r="T20" t="s">
        <v>74</v>
      </c>
      <c r="U20" t="s">
        <v>74</v>
      </c>
      <c r="V20" t="s">
        <v>272</v>
      </c>
      <c r="W20" t="s">
        <v>74</v>
      </c>
      <c r="X20" t="s">
        <v>74</v>
      </c>
      <c r="Y20" t="s">
        <v>74</v>
      </c>
      <c r="Z20" t="s">
        <v>74</v>
      </c>
      <c r="AA20" t="s">
        <v>273</v>
      </c>
      <c r="AB20" t="s">
        <v>274</v>
      </c>
      <c r="AC20" t="s">
        <v>74</v>
      </c>
      <c r="AD20" t="s">
        <v>74</v>
      </c>
      <c r="AE20" t="s">
        <v>74</v>
      </c>
      <c r="AF20" t="s">
        <v>74</v>
      </c>
      <c r="AG20" t="s">
        <v>74</v>
      </c>
      <c r="AH20" t="s">
        <v>74</v>
      </c>
      <c r="AI20" t="s">
        <v>74</v>
      </c>
      <c r="AJ20" t="s">
        <v>74</v>
      </c>
      <c r="AK20" t="s">
        <v>74</v>
      </c>
      <c r="AL20" t="s">
        <v>74</v>
      </c>
      <c r="AM20" t="s">
        <v>74</v>
      </c>
      <c r="AN20" t="s">
        <v>74</v>
      </c>
      <c r="AO20" t="s">
        <v>248</v>
      </c>
      <c r="AP20" t="s">
        <v>249</v>
      </c>
      <c r="AQ20" t="s">
        <v>74</v>
      </c>
      <c r="AR20" t="s">
        <v>74</v>
      </c>
      <c r="AS20" t="s">
        <v>74</v>
      </c>
      <c r="AT20" t="s">
        <v>74</v>
      </c>
      <c r="AU20">
        <v>2025</v>
      </c>
      <c r="AV20">
        <v>18</v>
      </c>
      <c r="AW20" t="s">
        <v>74</v>
      </c>
      <c r="AX20" t="s">
        <v>74</v>
      </c>
      <c r="AY20" t="s">
        <v>74</v>
      </c>
      <c r="AZ20" t="s">
        <v>74</v>
      </c>
      <c r="BA20" t="s">
        <v>74</v>
      </c>
      <c r="BB20">
        <v>11250</v>
      </c>
      <c r="BC20">
        <v>11262</v>
      </c>
      <c r="BD20" t="s">
        <v>74</v>
      </c>
      <c r="BE20" t="s">
        <v>275</v>
      </c>
      <c r="BF20" t="str">
        <f>HYPERLINK("http://dx.doi.org/10.1109/JSTARS.2025.3562216","http://dx.doi.org/10.1109/JSTARS.2025.3562216")</f>
        <v>http://dx.doi.org/10.1109/JSTARS.2025.3562216</v>
      </c>
      <c r="BG20" t="s">
        <v>74</v>
      </c>
      <c r="BH20" t="s">
        <v>74</v>
      </c>
      <c r="BI20" t="s">
        <v>74</v>
      </c>
      <c r="BJ20" t="s">
        <v>74</v>
      </c>
      <c r="BK20" t="s">
        <v>74</v>
      </c>
      <c r="BL20" t="s">
        <v>74</v>
      </c>
      <c r="BM20" t="s">
        <v>74</v>
      </c>
      <c r="BN20" t="s">
        <v>74</v>
      </c>
      <c r="BO20" t="s">
        <v>74</v>
      </c>
      <c r="BP20" t="s">
        <v>74</v>
      </c>
      <c r="BQ20" t="s">
        <v>74</v>
      </c>
      <c r="BR20" t="s">
        <v>74</v>
      </c>
      <c r="BS20" t="s">
        <v>276</v>
      </c>
      <c r="BT20" t="str">
        <f>HYPERLINK("https%3A%2F%2Fwww.webofscience.com%2Fwos%2Fwoscc%2Ffull-record%2FWOS:001484675600007","View Full Record in Web of Science")</f>
        <v>View Full Record in Web of Science</v>
      </c>
    </row>
    <row r="21" spans="1:72" x14ac:dyDescent="0.15">
      <c r="A21" t="s">
        <v>252</v>
      </c>
      <c r="B21" t="s">
        <v>277</v>
      </c>
      <c r="C21" t="s">
        <v>74</v>
      </c>
      <c r="D21" t="s">
        <v>74</v>
      </c>
      <c r="E21" t="s">
        <v>254</v>
      </c>
      <c r="F21" t="s">
        <v>278</v>
      </c>
      <c r="G21" t="s">
        <v>74</v>
      </c>
      <c r="H21" t="s">
        <v>74</v>
      </c>
      <c r="I21" t="s">
        <v>279</v>
      </c>
      <c r="J21" t="s">
        <v>257</v>
      </c>
      <c r="K21" t="s">
        <v>258</v>
      </c>
      <c r="L21" t="s">
        <v>74</v>
      </c>
      <c r="M21" t="s">
        <v>74</v>
      </c>
      <c r="N21" t="s">
        <v>74</v>
      </c>
      <c r="O21" t="s">
        <v>259</v>
      </c>
      <c r="P21" t="s">
        <v>260</v>
      </c>
      <c r="Q21" t="s">
        <v>261</v>
      </c>
      <c r="R21" t="s">
        <v>262</v>
      </c>
      <c r="S21" t="s">
        <v>74</v>
      </c>
      <c r="T21" t="s">
        <v>74</v>
      </c>
      <c r="U21" t="s">
        <v>74</v>
      </c>
      <c r="V21" t="s">
        <v>280</v>
      </c>
      <c r="W21" t="s">
        <v>74</v>
      </c>
      <c r="X21" t="s">
        <v>74</v>
      </c>
      <c r="Y21" t="s">
        <v>74</v>
      </c>
      <c r="Z21" t="s">
        <v>74</v>
      </c>
      <c r="AA21" t="s">
        <v>281</v>
      </c>
      <c r="AB21" t="s">
        <v>74</v>
      </c>
      <c r="AC21" t="s">
        <v>74</v>
      </c>
      <c r="AD21" t="s">
        <v>74</v>
      </c>
      <c r="AE21" t="s">
        <v>74</v>
      </c>
      <c r="AF21" t="s">
        <v>74</v>
      </c>
      <c r="AG21" t="s">
        <v>74</v>
      </c>
      <c r="AH21" t="s">
        <v>74</v>
      </c>
      <c r="AI21" t="s">
        <v>74</v>
      </c>
      <c r="AJ21" t="s">
        <v>74</v>
      </c>
      <c r="AK21" t="s">
        <v>74</v>
      </c>
      <c r="AL21" t="s">
        <v>74</v>
      </c>
      <c r="AM21" t="s">
        <v>74</v>
      </c>
      <c r="AN21" t="s">
        <v>74</v>
      </c>
      <c r="AO21" t="s">
        <v>265</v>
      </c>
      <c r="AP21" t="s">
        <v>74</v>
      </c>
      <c r="AQ21" t="s">
        <v>266</v>
      </c>
      <c r="AR21" t="s">
        <v>74</v>
      </c>
      <c r="AS21" t="s">
        <v>74</v>
      </c>
      <c r="AT21" t="s">
        <v>74</v>
      </c>
      <c r="AU21">
        <v>2025</v>
      </c>
      <c r="AV21" t="s">
        <v>74</v>
      </c>
      <c r="AW21" t="s">
        <v>74</v>
      </c>
      <c r="AX21" t="s">
        <v>74</v>
      </c>
      <c r="AY21" t="s">
        <v>74</v>
      </c>
      <c r="AZ21" t="s">
        <v>74</v>
      </c>
      <c r="BA21" t="s">
        <v>74</v>
      </c>
      <c r="BB21">
        <v>2366</v>
      </c>
      <c r="BC21">
        <v>2370</v>
      </c>
      <c r="BD21" t="s">
        <v>74</v>
      </c>
      <c r="BE21" t="s">
        <v>282</v>
      </c>
      <c r="BF21" t="str">
        <f>HYPERLINK("http://dx.doi.org/10.1109/IGARSS55030.2025.11243237","http://dx.doi.org/10.1109/IGARSS55030.2025.11243237")</f>
        <v>http://dx.doi.org/10.1109/IGARSS55030.2025.11243237</v>
      </c>
      <c r="BG21" t="s">
        <v>74</v>
      </c>
      <c r="BH21" t="s">
        <v>74</v>
      </c>
      <c r="BI21" t="s">
        <v>74</v>
      </c>
      <c r="BJ21" t="s">
        <v>74</v>
      </c>
      <c r="BK21" t="s">
        <v>74</v>
      </c>
      <c r="BL21" t="s">
        <v>74</v>
      </c>
      <c r="BM21" t="s">
        <v>74</v>
      </c>
      <c r="BN21" t="s">
        <v>74</v>
      </c>
      <c r="BO21" t="s">
        <v>74</v>
      </c>
      <c r="BP21" t="s">
        <v>74</v>
      </c>
      <c r="BQ21" t="s">
        <v>74</v>
      </c>
      <c r="BR21" t="s">
        <v>74</v>
      </c>
      <c r="BS21" t="s">
        <v>283</v>
      </c>
      <c r="BT21" t="str">
        <f>HYPERLINK("https%3A%2F%2Fwww.webofscience.com%2Fwos%2Fwoscc%2Ffull-record%2FWOS:001697407700498","View Full Record in Web of Science")</f>
        <v>View Full Record in Web of Science</v>
      </c>
    </row>
    <row r="22" spans="1:72" x14ac:dyDescent="0.15">
      <c r="A22" t="s">
        <v>72</v>
      </c>
      <c r="B22" t="s">
        <v>284</v>
      </c>
      <c r="C22" t="s">
        <v>74</v>
      </c>
      <c r="D22" t="s">
        <v>74</v>
      </c>
      <c r="E22" t="s">
        <v>74</v>
      </c>
      <c r="F22" t="s">
        <v>285</v>
      </c>
      <c r="G22" t="s">
        <v>74</v>
      </c>
      <c r="H22" t="s">
        <v>74</v>
      </c>
      <c r="I22" t="s">
        <v>286</v>
      </c>
      <c r="J22" t="s">
        <v>287</v>
      </c>
      <c r="K22" t="s">
        <v>74</v>
      </c>
      <c r="L22" t="s">
        <v>74</v>
      </c>
      <c r="M22" t="s">
        <v>74</v>
      </c>
      <c r="N22" t="s">
        <v>74</v>
      </c>
      <c r="O22" t="s">
        <v>74</v>
      </c>
      <c r="P22" t="s">
        <v>74</v>
      </c>
      <c r="Q22" t="s">
        <v>74</v>
      </c>
      <c r="R22" t="s">
        <v>74</v>
      </c>
      <c r="S22" t="s">
        <v>74</v>
      </c>
      <c r="T22" t="s">
        <v>74</v>
      </c>
      <c r="U22" t="s">
        <v>74</v>
      </c>
      <c r="V22" t="s">
        <v>288</v>
      </c>
      <c r="W22" t="s">
        <v>74</v>
      </c>
      <c r="X22" t="s">
        <v>74</v>
      </c>
      <c r="Y22" t="s">
        <v>74</v>
      </c>
      <c r="Z22" t="s">
        <v>74</v>
      </c>
      <c r="AA22" t="s">
        <v>289</v>
      </c>
      <c r="AB22" t="s">
        <v>290</v>
      </c>
      <c r="AC22" t="s">
        <v>74</v>
      </c>
      <c r="AD22" t="s">
        <v>74</v>
      </c>
      <c r="AE22" t="s">
        <v>74</v>
      </c>
      <c r="AF22" t="s">
        <v>74</v>
      </c>
      <c r="AG22" t="s">
        <v>74</v>
      </c>
      <c r="AH22" t="s">
        <v>74</v>
      </c>
      <c r="AI22" t="s">
        <v>74</v>
      </c>
      <c r="AJ22" t="s">
        <v>74</v>
      </c>
      <c r="AK22" t="s">
        <v>74</v>
      </c>
      <c r="AL22" t="s">
        <v>74</v>
      </c>
      <c r="AM22" t="s">
        <v>74</v>
      </c>
      <c r="AN22" t="s">
        <v>74</v>
      </c>
      <c r="AO22" t="s">
        <v>291</v>
      </c>
      <c r="AP22" t="s">
        <v>292</v>
      </c>
      <c r="AQ22" t="s">
        <v>74</v>
      </c>
      <c r="AR22" t="s">
        <v>74</v>
      </c>
      <c r="AS22" t="s">
        <v>74</v>
      </c>
      <c r="AT22" t="s">
        <v>293</v>
      </c>
      <c r="AU22">
        <v>2024</v>
      </c>
      <c r="AV22">
        <v>17</v>
      </c>
      <c r="AW22">
        <v>1</v>
      </c>
      <c r="AX22" t="s">
        <v>74</v>
      </c>
      <c r="AY22" t="s">
        <v>74</v>
      </c>
      <c r="AZ22" t="s">
        <v>74</v>
      </c>
      <c r="BA22" t="s">
        <v>74</v>
      </c>
      <c r="BB22" t="s">
        <v>74</v>
      </c>
      <c r="BC22" t="s">
        <v>74</v>
      </c>
      <c r="BD22">
        <v>2299208</v>
      </c>
      <c r="BE22" t="s">
        <v>294</v>
      </c>
      <c r="BF22" t="str">
        <f>HYPERLINK("http://dx.doi.org/10.1080/17538947.2023.2299208","http://dx.doi.org/10.1080/17538947.2023.2299208")</f>
        <v>http://dx.doi.org/10.1080/17538947.2023.2299208</v>
      </c>
      <c r="BG22" t="s">
        <v>74</v>
      </c>
      <c r="BH22" t="s">
        <v>74</v>
      </c>
      <c r="BI22" t="s">
        <v>74</v>
      </c>
      <c r="BJ22" t="s">
        <v>74</v>
      </c>
      <c r="BK22" t="s">
        <v>74</v>
      </c>
      <c r="BL22" t="s">
        <v>74</v>
      </c>
      <c r="BM22" t="s">
        <v>74</v>
      </c>
      <c r="BN22" t="s">
        <v>74</v>
      </c>
      <c r="BO22" t="s">
        <v>74</v>
      </c>
      <c r="BP22" t="s">
        <v>74</v>
      </c>
      <c r="BQ22" t="s">
        <v>74</v>
      </c>
      <c r="BR22" t="s">
        <v>74</v>
      </c>
      <c r="BS22" t="s">
        <v>295</v>
      </c>
      <c r="BT22" t="str">
        <f>HYPERLINK("https%3A%2F%2Fwww.webofscience.com%2Fwos%2Fwoscc%2Ffull-record%2FWOS:001135343300001","View Full Record in Web of Science")</f>
        <v>View Full Record in Web of Science</v>
      </c>
    </row>
    <row r="23" spans="1:72" x14ac:dyDescent="0.15">
      <c r="A23" t="s">
        <v>72</v>
      </c>
      <c r="B23" t="s">
        <v>296</v>
      </c>
      <c r="C23" t="s">
        <v>74</v>
      </c>
      <c r="D23" t="s">
        <v>74</v>
      </c>
      <c r="E23" t="s">
        <v>74</v>
      </c>
      <c r="F23" t="s">
        <v>297</v>
      </c>
      <c r="G23" t="s">
        <v>74</v>
      </c>
      <c r="H23" t="s">
        <v>74</v>
      </c>
      <c r="I23" t="s">
        <v>298</v>
      </c>
      <c r="J23" t="s">
        <v>287</v>
      </c>
      <c r="K23" t="s">
        <v>74</v>
      </c>
      <c r="L23" t="s">
        <v>74</v>
      </c>
      <c r="M23" t="s">
        <v>74</v>
      </c>
      <c r="N23" t="s">
        <v>74</v>
      </c>
      <c r="O23" t="s">
        <v>74</v>
      </c>
      <c r="P23" t="s">
        <v>74</v>
      </c>
      <c r="Q23" t="s">
        <v>74</v>
      </c>
      <c r="R23" t="s">
        <v>74</v>
      </c>
      <c r="S23" t="s">
        <v>74</v>
      </c>
      <c r="T23" t="s">
        <v>74</v>
      </c>
      <c r="U23" t="s">
        <v>74</v>
      </c>
      <c r="V23" t="s">
        <v>299</v>
      </c>
      <c r="W23" t="s">
        <v>74</v>
      </c>
      <c r="X23" t="s">
        <v>74</v>
      </c>
      <c r="Y23" t="s">
        <v>74</v>
      </c>
      <c r="Z23" t="s">
        <v>74</v>
      </c>
      <c r="AA23" t="s">
        <v>300</v>
      </c>
      <c r="AB23" t="s">
        <v>74</v>
      </c>
      <c r="AC23" t="s">
        <v>74</v>
      </c>
      <c r="AD23" t="s">
        <v>74</v>
      </c>
      <c r="AE23" t="s">
        <v>74</v>
      </c>
      <c r="AF23" t="s">
        <v>74</v>
      </c>
      <c r="AG23" t="s">
        <v>74</v>
      </c>
      <c r="AH23" t="s">
        <v>74</v>
      </c>
      <c r="AI23" t="s">
        <v>74</v>
      </c>
      <c r="AJ23" t="s">
        <v>74</v>
      </c>
      <c r="AK23" t="s">
        <v>74</v>
      </c>
      <c r="AL23" t="s">
        <v>74</v>
      </c>
      <c r="AM23" t="s">
        <v>74</v>
      </c>
      <c r="AN23" t="s">
        <v>74</v>
      </c>
      <c r="AO23" t="s">
        <v>291</v>
      </c>
      <c r="AP23" t="s">
        <v>292</v>
      </c>
      <c r="AQ23" t="s">
        <v>74</v>
      </c>
      <c r="AR23" t="s">
        <v>74</v>
      </c>
      <c r="AS23" t="s">
        <v>74</v>
      </c>
      <c r="AT23" t="s">
        <v>293</v>
      </c>
      <c r="AU23">
        <v>2024</v>
      </c>
      <c r="AV23">
        <v>17</v>
      </c>
      <c r="AW23">
        <v>1</v>
      </c>
      <c r="AX23" t="s">
        <v>74</v>
      </c>
      <c r="AY23" t="s">
        <v>74</v>
      </c>
      <c r="AZ23" t="s">
        <v>74</v>
      </c>
      <c r="BA23" t="s">
        <v>74</v>
      </c>
      <c r="BB23" t="s">
        <v>74</v>
      </c>
      <c r="BC23" t="s">
        <v>74</v>
      </c>
      <c r="BD23">
        <v>2376260</v>
      </c>
      <c r="BE23" t="s">
        <v>301</v>
      </c>
      <c r="BF23" t="str">
        <f>HYPERLINK("http://dx.doi.org/10.1080/17538947.2024.2376260","http://dx.doi.org/10.1080/17538947.2024.2376260")</f>
        <v>http://dx.doi.org/10.1080/17538947.2024.2376260</v>
      </c>
      <c r="BG23" t="s">
        <v>74</v>
      </c>
      <c r="BH23" t="s">
        <v>74</v>
      </c>
      <c r="BI23" t="s">
        <v>74</v>
      </c>
      <c r="BJ23" t="s">
        <v>74</v>
      </c>
      <c r="BK23" t="s">
        <v>74</v>
      </c>
      <c r="BL23" t="s">
        <v>74</v>
      </c>
      <c r="BM23" t="s">
        <v>74</v>
      </c>
      <c r="BN23" t="s">
        <v>74</v>
      </c>
      <c r="BO23" t="s">
        <v>74</v>
      </c>
      <c r="BP23" t="s">
        <v>74</v>
      </c>
      <c r="BQ23" t="s">
        <v>74</v>
      </c>
      <c r="BR23" t="s">
        <v>74</v>
      </c>
      <c r="BS23" t="s">
        <v>302</v>
      </c>
      <c r="BT23" t="str">
        <f>HYPERLINK("https%3A%2F%2Fwww.webofscience.com%2Fwos%2Fwoscc%2Ffull-record%2FWOS:001270114800001","View Full Record in Web of Science")</f>
        <v>View Full Record in Web of Science</v>
      </c>
    </row>
    <row r="24" spans="1:72" x14ac:dyDescent="0.15">
      <c r="A24" t="s">
        <v>72</v>
      </c>
      <c r="B24" t="s">
        <v>303</v>
      </c>
      <c r="C24" t="s">
        <v>74</v>
      </c>
      <c r="D24" t="s">
        <v>74</v>
      </c>
      <c r="E24" t="s">
        <v>74</v>
      </c>
      <c r="F24" t="s">
        <v>304</v>
      </c>
      <c r="G24" t="s">
        <v>74</v>
      </c>
      <c r="H24" t="s">
        <v>74</v>
      </c>
      <c r="I24" t="s">
        <v>305</v>
      </c>
      <c r="J24" t="s">
        <v>306</v>
      </c>
      <c r="K24" t="s">
        <v>74</v>
      </c>
      <c r="L24" t="s">
        <v>74</v>
      </c>
      <c r="M24" t="s">
        <v>74</v>
      </c>
      <c r="N24" t="s">
        <v>74</v>
      </c>
      <c r="O24" t="s">
        <v>74</v>
      </c>
      <c r="P24" t="s">
        <v>74</v>
      </c>
      <c r="Q24" t="s">
        <v>74</v>
      </c>
      <c r="R24" t="s">
        <v>74</v>
      </c>
      <c r="S24" t="s">
        <v>74</v>
      </c>
      <c r="T24" t="s">
        <v>74</v>
      </c>
      <c r="U24" t="s">
        <v>74</v>
      </c>
      <c r="V24" t="s">
        <v>307</v>
      </c>
      <c r="W24" t="s">
        <v>74</v>
      </c>
      <c r="X24" t="s">
        <v>74</v>
      </c>
      <c r="Y24" t="s">
        <v>74</v>
      </c>
      <c r="Z24" t="s">
        <v>74</v>
      </c>
      <c r="AA24" t="s">
        <v>308</v>
      </c>
      <c r="AB24" t="s">
        <v>309</v>
      </c>
      <c r="AC24" t="s">
        <v>74</v>
      </c>
      <c r="AD24" t="s">
        <v>74</v>
      </c>
      <c r="AE24" t="s">
        <v>74</v>
      </c>
      <c r="AF24" t="s">
        <v>74</v>
      </c>
      <c r="AG24" t="s">
        <v>74</v>
      </c>
      <c r="AH24" t="s">
        <v>74</v>
      </c>
      <c r="AI24" t="s">
        <v>74</v>
      </c>
      <c r="AJ24" t="s">
        <v>74</v>
      </c>
      <c r="AK24" t="s">
        <v>74</v>
      </c>
      <c r="AL24" t="s">
        <v>74</v>
      </c>
      <c r="AM24" t="s">
        <v>74</v>
      </c>
      <c r="AN24" t="s">
        <v>74</v>
      </c>
      <c r="AO24" t="s">
        <v>74</v>
      </c>
      <c r="AP24" t="s">
        <v>310</v>
      </c>
      <c r="AQ24" t="s">
        <v>74</v>
      </c>
      <c r="AR24" t="s">
        <v>74</v>
      </c>
      <c r="AS24" t="s">
        <v>74</v>
      </c>
      <c r="AT24" t="s">
        <v>311</v>
      </c>
      <c r="AU24">
        <v>2025</v>
      </c>
      <c r="AV24">
        <v>57</v>
      </c>
      <c r="AW24" t="s">
        <v>74</v>
      </c>
      <c r="AX24" t="s">
        <v>74</v>
      </c>
      <c r="AY24" t="s">
        <v>74</v>
      </c>
      <c r="AZ24" t="s">
        <v>74</v>
      </c>
      <c r="BA24" t="s">
        <v>74</v>
      </c>
      <c r="BB24" t="s">
        <v>74</v>
      </c>
      <c r="BC24" t="s">
        <v>74</v>
      </c>
      <c r="BD24">
        <v>102085</v>
      </c>
      <c r="BE24" t="s">
        <v>312</v>
      </c>
      <c r="BF24" t="str">
        <f>HYPERLINK("http://dx.doi.org/10.1016/j.ejrh.2024.102085","http://dx.doi.org/10.1016/j.ejrh.2024.102085")</f>
        <v>http://dx.doi.org/10.1016/j.ejrh.2024.102085</v>
      </c>
      <c r="BG24" t="s">
        <v>74</v>
      </c>
      <c r="BH24" t="s">
        <v>313</v>
      </c>
      <c r="BI24" t="s">
        <v>74</v>
      </c>
      <c r="BJ24" t="s">
        <v>74</v>
      </c>
      <c r="BK24" t="s">
        <v>74</v>
      </c>
      <c r="BL24" t="s">
        <v>74</v>
      </c>
      <c r="BM24" t="s">
        <v>74</v>
      </c>
      <c r="BN24" t="s">
        <v>74</v>
      </c>
      <c r="BO24" t="s">
        <v>74</v>
      </c>
      <c r="BP24" t="s">
        <v>74</v>
      </c>
      <c r="BQ24" t="s">
        <v>74</v>
      </c>
      <c r="BR24" t="s">
        <v>74</v>
      </c>
      <c r="BS24" t="s">
        <v>314</v>
      </c>
      <c r="BT24" t="str">
        <f>HYPERLINK("https%3A%2F%2Fwww.webofscience.com%2Fwos%2Fwoscc%2Ffull-record%2FWOS:001381927800001","View Full Record in Web of Science")</f>
        <v>View Full Record in Web of Science</v>
      </c>
    </row>
    <row r="25" spans="1:72" x14ac:dyDescent="0.15">
      <c r="A25" t="s">
        <v>72</v>
      </c>
      <c r="B25" t="s">
        <v>315</v>
      </c>
      <c r="C25" t="s">
        <v>74</v>
      </c>
      <c r="D25" t="s">
        <v>74</v>
      </c>
      <c r="E25" t="s">
        <v>74</v>
      </c>
      <c r="F25" t="s">
        <v>316</v>
      </c>
      <c r="G25" t="s">
        <v>74</v>
      </c>
      <c r="H25" t="s">
        <v>74</v>
      </c>
      <c r="I25" t="s">
        <v>317</v>
      </c>
      <c r="J25" t="s">
        <v>158</v>
      </c>
      <c r="K25" t="s">
        <v>74</v>
      </c>
      <c r="L25" t="s">
        <v>74</v>
      </c>
      <c r="M25" t="s">
        <v>74</v>
      </c>
      <c r="N25" t="s">
        <v>74</v>
      </c>
      <c r="O25" t="s">
        <v>74</v>
      </c>
      <c r="P25" t="s">
        <v>74</v>
      </c>
      <c r="Q25" t="s">
        <v>74</v>
      </c>
      <c r="R25" t="s">
        <v>74</v>
      </c>
      <c r="S25" t="s">
        <v>74</v>
      </c>
      <c r="T25" t="s">
        <v>74</v>
      </c>
      <c r="U25" t="s">
        <v>74</v>
      </c>
      <c r="V25" t="s">
        <v>318</v>
      </c>
      <c r="W25" t="s">
        <v>74</v>
      </c>
      <c r="X25" t="s">
        <v>74</v>
      </c>
      <c r="Y25" t="s">
        <v>74</v>
      </c>
      <c r="Z25" t="s">
        <v>74</v>
      </c>
      <c r="AA25" t="s">
        <v>319</v>
      </c>
      <c r="AB25" t="s">
        <v>320</v>
      </c>
      <c r="AC25" t="s">
        <v>74</v>
      </c>
      <c r="AD25" t="s">
        <v>74</v>
      </c>
      <c r="AE25" t="s">
        <v>74</v>
      </c>
      <c r="AF25" t="s">
        <v>74</v>
      </c>
      <c r="AG25" t="s">
        <v>74</v>
      </c>
      <c r="AH25" t="s">
        <v>74</v>
      </c>
      <c r="AI25" t="s">
        <v>74</v>
      </c>
      <c r="AJ25" t="s">
        <v>74</v>
      </c>
      <c r="AK25" t="s">
        <v>74</v>
      </c>
      <c r="AL25" t="s">
        <v>74</v>
      </c>
      <c r="AM25" t="s">
        <v>74</v>
      </c>
      <c r="AN25" t="s">
        <v>74</v>
      </c>
      <c r="AO25" t="s">
        <v>161</v>
      </c>
      <c r="AP25" t="s">
        <v>162</v>
      </c>
      <c r="AQ25" t="s">
        <v>74</v>
      </c>
      <c r="AR25" t="s">
        <v>74</v>
      </c>
      <c r="AS25" t="s">
        <v>74</v>
      </c>
      <c r="AT25" t="s">
        <v>321</v>
      </c>
      <c r="AU25">
        <v>2024</v>
      </c>
      <c r="AV25">
        <v>645</v>
      </c>
      <c r="AW25" t="s">
        <v>74</v>
      </c>
      <c r="AX25" t="s">
        <v>164</v>
      </c>
      <c r="AY25" t="s">
        <v>74</v>
      </c>
      <c r="AZ25" t="s">
        <v>74</v>
      </c>
      <c r="BA25" t="s">
        <v>74</v>
      </c>
      <c r="BB25" t="s">
        <v>74</v>
      </c>
      <c r="BC25" t="s">
        <v>74</v>
      </c>
      <c r="BD25">
        <v>132203</v>
      </c>
      <c r="BE25" t="s">
        <v>322</v>
      </c>
      <c r="BF25" t="str">
        <f>HYPERLINK("http://dx.doi.org/10.1016/j.jhydrol.2024.132203","http://dx.doi.org/10.1016/j.jhydrol.2024.132203")</f>
        <v>http://dx.doi.org/10.1016/j.jhydrol.2024.132203</v>
      </c>
      <c r="BG25" t="s">
        <v>74</v>
      </c>
      <c r="BH25" t="s">
        <v>74</v>
      </c>
      <c r="BI25" t="s">
        <v>74</v>
      </c>
      <c r="BJ25" t="s">
        <v>74</v>
      </c>
      <c r="BK25" t="s">
        <v>74</v>
      </c>
      <c r="BL25" t="s">
        <v>74</v>
      </c>
      <c r="BM25" t="s">
        <v>74</v>
      </c>
      <c r="BN25" t="s">
        <v>74</v>
      </c>
      <c r="BO25" t="s">
        <v>74</v>
      </c>
      <c r="BP25" t="s">
        <v>74</v>
      </c>
      <c r="BQ25" t="s">
        <v>74</v>
      </c>
      <c r="BR25" t="s">
        <v>74</v>
      </c>
      <c r="BS25" t="s">
        <v>323</v>
      </c>
      <c r="BT25" t="str">
        <f>HYPERLINK("https%3A%2F%2Fwww.webofscience.com%2Fwos%2Fwoscc%2Ffull-record%2FWOS:001756997100001","View Full Record in Web of Science")</f>
        <v>View Full Record in Web of Science</v>
      </c>
    </row>
    <row r="26" spans="1:72" x14ac:dyDescent="0.15">
      <c r="A26" t="s">
        <v>72</v>
      </c>
      <c r="B26" t="s">
        <v>324</v>
      </c>
      <c r="C26" t="s">
        <v>74</v>
      </c>
      <c r="D26" t="s">
        <v>74</v>
      </c>
      <c r="E26" t="s">
        <v>74</v>
      </c>
      <c r="F26" t="s">
        <v>325</v>
      </c>
      <c r="G26" t="s">
        <v>74</v>
      </c>
      <c r="H26" t="s">
        <v>74</v>
      </c>
      <c r="I26" t="s">
        <v>326</v>
      </c>
      <c r="J26" t="s">
        <v>122</v>
      </c>
      <c r="K26" t="s">
        <v>74</v>
      </c>
      <c r="L26" t="s">
        <v>74</v>
      </c>
      <c r="M26" t="s">
        <v>74</v>
      </c>
      <c r="N26" t="s">
        <v>74</v>
      </c>
      <c r="O26" t="s">
        <v>74</v>
      </c>
      <c r="P26" t="s">
        <v>74</v>
      </c>
      <c r="Q26" t="s">
        <v>74</v>
      </c>
      <c r="R26" t="s">
        <v>74</v>
      </c>
      <c r="S26" t="s">
        <v>74</v>
      </c>
      <c r="T26" t="s">
        <v>74</v>
      </c>
      <c r="U26" t="s">
        <v>74</v>
      </c>
      <c r="V26" t="s">
        <v>327</v>
      </c>
      <c r="W26" t="s">
        <v>74</v>
      </c>
      <c r="X26" t="s">
        <v>74</v>
      </c>
      <c r="Y26" t="s">
        <v>74</v>
      </c>
      <c r="Z26" t="s">
        <v>74</v>
      </c>
      <c r="AA26" t="s">
        <v>328</v>
      </c>
      <c r="AB26" t="s">
        <v>329</v>
      </c>
      <c r="AC26" t="s">
        <v>74</v>
      </c>
      <c r="AD26" t="s">
        <v>74</v>
      </c>
      <c r="AE26" t="s">
        <v>74</v>
      </c>
      <c r="AF26" t="s">
        <v>74</v>
      </c>
      <c r="AG26" t="s">
        <v>74</v>
      </c>
      <c r="AH26" t="s">
        <v>74</v>
      </c>
      <c r="AI26" t="s">
        <v>74</v>
      </c>
      <c r="AJ26" t="s">
        <v>74</v>
      </c>
      <c r="AK26" t="s">
        <v>74</v>
      </c>
      <c r="AL26" t="s">
        <v>74</v>
      </c>
      <c r="AM26" t="s">
        <v>74</v>
      </c>
      <c r="AN26" t="s">
        <v>74</v>
      </c>
      <c r="AO26" t="s">
        <v>126</v>
      </c>
      <c r="AP26" t="s">
        <v>127</v>
      </c>
      <c r="AQ26" t="s">
        <v>74</v>
      </c>
      <c r="AR26" t="s">
        <v>74</v>
      </c>
      <c r="AS26" t="s">
        <v>74</v>
      </c>
      <c r="AT26" t="s">
        <v>128</v>
      </c>
      <c r="AU26">
        <v>2024</v>
      </c>
      <c r="AV26">
        <v>314</v>
      </c>
      <c r="AW26" t="s">
        <v>74</v>
      </c>
      <c r="AX26" t="s">
        <v>74</v>
      </c>
      <c r="AY26" t="s">
        <v>74</v>
      </c>
      <c r="AZ26" t="s">
        <v>74</v>
      </c>
      <c r="BA26" t="s">
        <v>74</v>
      </c>
      <c r="BB26" t="s">
        <v>74</v>
      </c>
      <c r="BC26" t="s">
        <v>74</v>
      </c>
      <c r="BD26">
        <v>114369</v>
      </c>
      <c r="BE26" t="s">
        <v>330</v>
      </c>
      <c r="BF26" t="str">
        <f>HYPERLINK("http://dx.doi.org/10.1016/j.rse.2024.114369","http://dx.doi.org/10.1016/j.rse.2024.114369")</f>
        <v>http://dx.doi.org/10.1016/j.rse.2024.114369</v>
      </c>
      <c r="BG26" t="s">
        <v>74</v>
      </c>
      <c r="BH26" t="s">
        <v>331</v>
      </c>
      <c r="BI26" t="s">
        <v>74</v>
      </c>
      <c r="BJ26" t="s">
        <v>74</v>
      </c>
      <c r="BK26" t="s">
        <v>74</v>
      </c>
      <c r="BL26" t="s">
        <v>74</v>
      </c>
      <c r="BM26" t="s">
        <v>74</v>
      </c>
      <c r="BN26" t="s">
        <v>74</v>
      </c>
      <c r="BO26" t="s">
        <v>74</v>
      </c>
      <c r="BP26" t="s">
        <v>74</v>
      </c>
      <c r="BQ26" t="s">
        <v>74</v>
      </c>
      <c r="BR26" t="s">
        <v>74</v>
      </c>
      <c r="BS26" t="s">
        <v>332</v>
      </c>
      <c r="BT26" t="str">
        <f>HYPERLINK("https%3A%2F%2Fwww.webofscience.com%2Fwos%2Fwoscc%2Ffull-record%2FWOS:001302838100001","View Full Record in Web of Science")</f>
        <v>View Full Record in Web of Science</v>
      </c>
    </row>
    <row r="27" spans="1:72" x14ac:dyDescent="0.15">
      <c r="A27" t="s">
        <v>72</v>
      </c>
      <c r="B27" t="s">
        <v>333</v>
      </c>
      <c r="C27" t="s">
        <v>74</v>
      </c>
      <c r="D27" t="s">
        <v>74</v>
      </c>
      <c r="E27" t="s">
        <v>74</v>
      </c>
      <c r="F27" t="s">
        <v>334</v>
      </c>
      <c r="G27" t="s">
        <v>74</v>
      </c>
      <c r="H27" t="s">
        <v>74</v>
      </c>
      <c r="I27" t="s">
        <v>335</v>
      </c>
      <c r="J27" t="s">
        <v>77</v>
      </c>
      <c r="K27" t="s">
        <v>74</v>
      </c>
      <c r="L27" t="s">
        <v>74</v>
      </c>
      <c r="M27" t="s">
        <v>74</v>
      </c>
      <c r="N27" t="s">
        <v>74</v>
      </c>
      <c r="O27" t="s">
        <v>74</v>
      </c>
      <c r="P27" t="s">
        <v>74</v>
      </c>
      <c r="Q27" t="s">
        <v>74</v>
      </c>
      <c r="R27" t="s">
        <v>74</v>
      </c>
      <c r="S27" t="s">
        <v>74</v>
      </c>
      <c r="T27" t="s">
        <v>74</v>
      </c>
      <c r="U27" t="s">
        <v>74</v>
      </c>
      <c r="V27" t="s">
        <v>336</v>
      </c>
      <c r="W27" t="s">
        <v>74</v>
      </c>
      <c r="X27" t="s">
        <v>74</v>
      </c>
      <c r="Y27" t="s">
        <v>74</v>
      </c>
      <c r="Z27" t="s">
        <v>74</v>
      </c>
      <c r="AA27" t="s">
        <v>337</v>
      </c>
      <c r="AB27" t="s">
        <v>338</v>
      </c>
      <c r="AC27" t="s">
        <v>74</v>
      </c>
      <c r="AD27" t="s">
        <v>74</v>
      </c>
      <c r="AE27" t="s">
        <v>74</v>
      </c>
      <c r="AF27" t="s">
        <v>74</v>
      </c>
      <c r="AG27" t="s">
        <v>74</v>
      </c>
      <c r="AH27" t="s">
        <v>74</v>
      </c>
      <c r="AI27" t="s">
        <v>74</v>
      </c>
      <c r="AJ27" t="s">
        <v>74</v>
      </c>
      <c r="AK27" t="s">
        <v>74</v>
      </c>
      <c r="AL27" t="s">
        <v>74</v>
      </c>
      <c r="AM27" t="s">
        <v>74</v>
      </c>
      <c r="AN27" t="s">
        <v>74</v>
      </c>
      <c r="AO27" t="s">
        <v>79</v>
      </c>
      <c r="AP27" t="s">
        <v>80</v>
      </c>
      <c r="AQ27" t="s">
        <v>74</v>
      </c>
      <c r="AR27" t="s">
        <v>74</v>
      </c>
      <c r="AS27" t="s">
        <v>74</v>
      </c>
      <c r="AT27" t="s">
        <v>339</v>
      </c>
      <c r="AU27">
        <v>2024</v>
      </c>
      <c r="AV27">
        <v>18</v>
      </c>
      <c r="AW27">
        <v>7</v>
      </c>
      <c r="AX27" t="s">
        <v>74</v>
      </c>
      <c r="AY27" t="s">
        <v>74</v>
      </c>
      <c r="AZ27" t="s">
        <v>74</v>
      </c>
      <c r="BA27" t="s">
        <v>74</v>
      </c>
      <c r="BB27">
        <v>3253</v>
      </c>
      <c r="BC27">
        <v>3276</v>
      </c>
      <c r="BD27" t="s">
        <v>74</v>
      </c>
      <c r="BE27" t="s">
        <v>340</v>
      </c>
      <c r="BF27" t="str">
        <f>HYPERLINK("http://dx.doi.org/10.5194/tc-18-3253-2024","http://dx.doi.org/10.5194/tc-18-3253-2024")</f>
        <v>http://dx.doi.org/10.5194/tc-18-3253-2024</v>
      </c>
      <c r="BG27" t="s">
        <v>74</v>
      </c>
      <c r="BH27" t="s">
        <v>74</v>
      </c>
      <c r="BI27" t="s">
        <v>74</v>
      </c>
      <c r="BJ27" t="s">
        <v>74</v>
      </c>
      <c r="BK27" t="s">
        <v>74</v>
      </c>
      <c r="BL27" t="s">
        <v>74</v>
      </c>
      <c r="BM27" t="s">
        <v>74</v>
      </c>
      <c r="BN27" t="s">
        <v>74</v>
      </c>
      <c r="BO27" t="s">
        <v>74</v>
      </c>
      <c r="BP27" t="s">
        <v>74</v>
      </c>
      <c r="BQ27" t="s">
        <v>74</v>
      </c>
      <c r="BR27" t="s">
        <v>74</v>
      </c>
      <c r="BS27" t="s">
        <v>341</v>
      </c>
      <c r="BT27" t="str">
        <f>HYPERLINK("https%3A%2F%2Fwww.webofscience.com%2Fwos%2Fwoscc%2Ffull-record%2FWOS:001273258700001","View Full Record in Web of Science")</f>
        <v>View Full Record in Web of Science</v>
      </c>
    </row>
    <row r="28" spans="1:72" x14ac:dyDescent="0.15">
      <c r="A28" t="s">
        <v>72</v>
      </c>
      <c r="B28" t="s">
        <v>342</v>
      </c>
      <c r="C28" t="s">
        <v>74</v>
      </c>
      <c r="D28" t="s">
        <v>74</v>
      </c>
      <c r="E28" t="s">
        <v>74</v>
      </c>
      <c r="F28" t="s">
        <v>343</v>
      </c>
      <c r="G28" t="s">
        <v>74</v>
      </c>
      <c r="H28" t="s">
        <v>74</v>
      </c>
      <c r="I28" t="s">
        <v>344</v>
      </c>
      <c r="J28" t="s">
        <v>345</v>
      </c>
      <c r="K28" t="s">
        <v>74</v>
      </c>
      <c r="L28" t="s">
        <v>74</v>
      </c>
      <c r="M28" t="s">
        <v>74</v>
      </c>
      <c r="N28" t="s">
        <v>74</v>
      </c>
      <c r="O28" t="s">
        <v>74</v>
      </c>
      <c r="P28" t="s">
        <v>74</v>
      </c>
      <c r="Q28" t="s">
        <v>74</v>
      </c>
      <c r="R28" t="s">
        <v>74</v>
      </c>
      <c r="S28" t="s">
        <v>74</v>
      </c>
      <c r="T28" t="s">
        <v>74</v>
      </c>
      <c r="U28" t="s">
        <v>74</v>
      </c>
      <c r="V28" t="s">
        <v>346</v>
      </c>
      <c r="W28" t="s">
        <v>74</v>
      </c>
      <c r="X28" t="s">
        <v>74</v>
      </c>
      <c r="Y28" t="s">
        <v>74</v>
      </c>
      <c r="Z28" t="s">
        <v>74</v>
      </c>
      <c r="AA28" t="s">
        <v>347</v>
      </c>
      <c r="AB28" t="s">
        <v>348</v>
      </c>
      <c r="AC28" t="s">
        <v>74</v>
      </c>
      <c r="AD28" t="s">
        <v>74</v>
      </c>
      <c r="AE28" t="s">
        <v>74</v>
      </c>
      <c r="AF28" t="s">
        <v>74</v>
      </c>
      <c r="AG28" t="s">
        <v>74</v>
      </c>
      <c r="AH28" t="s">
        <v>74</v>
      </c>
      <c r="AI28" t="s">
        <v>74</v>
      </c>
      <c r="AJ28" t="s">
        <v>74</v>
      </c>
      <c r="AK28" t="s">
        <v>74</v>
      </c>
      <c r="AL28" t="s">
        <v>74</v>
      </c>
      <c r="AM28" t="s">
        <v>74</v>
      </c>
      <c r="AN28" t="s">
        <v>74</v>
      </c>
      <c r="AO28" t="s">
        <v>74</v>
      </c>
      <c r="AP28" t="s">
        <v>349</v>
      </c>
      <c r="AQ28" t="s">
        <v>74</v>
      </c>
      <c r="AR28" t="s">
        <v>74</v>
      </c>
      <c r="AS28" t="s">
        <v>74</v>
      </c>
      <c r="AT28" t="s">
        <v>350</v>
      </c>
      <c r="AU28">
        <v>2024</v>
      </c>
      <c r="AV28">
        <v>18</v>
      </c>
      <c r="AW28">
        <v>2</v>
      </c>
      <c r="AX28" t="s">
        <v>74</v>
      </c>
      <c r="AY28" t="s">
        <v>74</v>
      </c>
      <c r="AZ28" t="s">
        <v>74</v>
      </c>
      <c r="BA28" t="s">
        <v>74</v>
      </c>
      <c r="BB28" t="s">
        <v>74</v>
      </c>
      <c r="BC28" t="s">
        <v>74</v>
      </c>
      <c r="BD28">
        <v>24517</v>
      </c>
      <c r="BE28" t="s">
        <v>351</v>
      </c>
      <c r="BF28" t="str">
        <f>HYPERLINK("http://dx.doi.org/10.1117/1.JRS.18.024517","http://dx.doi.org/10.1117/1.JRS.18.024517")</f>
        <v>http://dx.doi.org/10.1117/1.JRS.18.024517</v>
      </c>
      <c r="BG28" t="s">
        <v>74</v>
      </c>
      <c r="BH28" t="s">
        <v>74</v>
      </c>
      <c r="BI28" t="s">
        <v>74</v>
      </c>
      <c r="BJ28" t="s">
        <v>74</v>
      </c>
      <c r="BK28" t="s">
        <v>74</v>
      </c>
      <c r="BL28" t="s">
        <v>74</v>
      </c>
      <c r="BM28" t="s">
        <v>74</v>
      </c>
      <c r="BN28" t="s">
        <v>74</v>
      </c>
      <c r="BO28" t="s">
        <v>74</v>
      </c>
      <c r="BP28" t="s">
        <v>74</v>
      </c>
      <c r="BQ28" t="s">
        <v>74</v>
      </c>
      <c r="BR28" t="s">
        <v>74</v>
      </c>
      <c r="BS28" t="s">
        <v>352</v>
      </c>
      <c r="BT28" t="str">
        <f>HYPERLINK("https%3A%2F%2Fwww.webofscience.com%2Fwos%2Fwoscc%2Ffull-record%2FWOS:001270024600022","View Full Record in Web of Science")</f>
        <v>View Full Record in Web of Science</v>
      </c>
    </row>
    <row r="29" spans="1:72" x14ac:dyDescent="0.15">
      <c r="A29" t="s">
        <v>72</v>
      </c>
      <c r="B29" t="s">
        <v>353</v>
      </c>
      <c r="C29" t="s">
        <v>74</v>
      </c>
      <c r="D29" t="s">
        <v>74</v>
      </c>
      <c r="E29" t="s">
        <v>74</v>
      </c>
      <c r="F29" t="s">
        <v>354</v>
      </c>
      <c r="G29" t="s">
        <v>74</v>
      </c>
      <c r="H29" t="s">
        <v>74</v>
      </c>
      <c r="I29" t="s">
        <v>355</v>
      </c>
      <c r="J29" t="s">
        <v>232</v>
      </c>
      <c r="K29" t="s">
        <v>74</v>
      </c>
      <c r="L29" t="s">
        <v>74</v>
      </c>
      <c r="M29" t="s">
        <v>74</v>
      </c>
      <c r="N29" t="s">
        <v>74</v>
      </c>
      <c r="O29" t="s">
        <v>74</v>
      </c>
      <c r="P29" t="s">
        <v>74</v>
      </c>
      <c r="Q29" t="s">
        <v>74</v>
      </c>
      <c r="R29" t="s">
        <v>74</v>
      </c>
      <c r="S29" t="s">
        <v>74</v>
      </c>
      <c r="T29" t="s">
        <v>74</v>
      </c>
      <c r="U29" t="s">
        <v>74</v>
      </c>
      <c r="V29" t="s">
        <v>356</v>
      </c>
      <c r="W29" t="s">
        <v>74</v>
      </c>
      <c r="X29" t="s">
        <v>74</v>
      </c>
      <c r="Y29" t="s">
        <v>74</v>
      </c>
      <c r="Z29" t="s">
        <v>74</v>
      </c>
      <c r="AA29" t="s">
        <v>357</v>
      </c>
      <c r="AB29" t="s">
        <v>358</v>
      </c>
      <c r="AC29" t="s">
        <v>74</v>
      </c>
      <c r="AD29" t="s">
        <v>74</v>
      </c>
      <c r="AE29" t="s">
        <v>74</v>
      </c>
      <c r="AF29" t="s">
        <v>74</v>
      </c>
      <c r="AG29" t="s">
        <v>74</v>
      </c>
      <c r="AH29" t="s">
        <v>74</v>
      </c>
      <c r="AI29" t="s">
        <v>74</v>
      </c>
      <c r="AJ29" t="s">
        <v>74</v>
      </c>
      <c r="AK29" t="s">
        <v>74</v>
      </c>
      <c r="AL29" t="s">
        <v>74</v>
      </c>
      <c r="AM29" t="s">
        <v>74</v>
      </c>
      <c r="AN29" t="s">
        <v>74</v>
      </c>
      <c r="AO29" t="s">
        <v>74</v>
      </c>
      <c r="AP29" t="s">
        <v>236</v>
      </c>
      <c r="AQ29" t="s">
        <v>74</v>
      </c>
      <c r="AR29" t="s">
        <v>74</v>
      </c>
      <c r="AS29" t="s">
        <v>74</v>
      </c>
      <c r="AT29" t="s">
        <v>359</v>
      </c>
      <c r="AU29">
        <v>2024</v>
      </c>
      <c r="AV29">
        <v>11</v>
      </c>
      <c r="AW29">
        <v>3</v>
      </c>
      <c r="AX29" t="s">
        <v>74</v>
      </c>
      <c r="AY29" t="s">
        <v>74</v>
      </c>
      <c r="AZ29" t="s">
        <v>74</v>
      </c>
      <c r="BA29" t="s">
        <v>74</v>
      </c>
      <c r="BB29" t="s">
        <v>74</v>
      </c>
      <c r="BC29" t="s">
        <v>74</v>
      </c>
      <c r="BD29" t="s">
        <v>360</v>
      </c>
      <c r="BE29" t="s">
        <v>361</v>
      </c>
      <c r="BF29" t="str">
        <f>HYPERLINK("http://dx.doi.org/10.1029/2023EA002964","http://dx.doi.org/10.1029/2023EA002964")</f>
        <v>http://dx.doi.org/10.1029/2023EA002964</v>
      </c>
      <c r="BG29" t="s">
        <v>74</v>
      </c>
      <c r="BH29" t="s">
        <v>74</v>
      </c>
      <c r="BI29" t="s">
        <v>74</v>
      </c>
      <c r="BJ29" t="s">
        <v>74</v>
      </c>
      <c r="BK29" t="s">
        <v>74</v>
      </c>
      <c r="BL29" t="s">
        <v>74</v>
      </c>
      <c r="BM29" t="s">
        <v>74</v>
      </c>
      <c r="BN29" t="s">
        <v>74</v>
      </c>
      <c r="BO29" t="s">
        <v>74</v>
      </c>
      <c r="BP29" t="s">
        <v>74</v>
      </c>
      <c r="BQ29" t="s">
        <v>74</v>
      </c>
      <c r="BR29" t="s">
        <v>74</v>
      </c>
      <c r="BS29" t="s">
        <v>362</v>
      </c>
      <c r="BT29" t="str">
        <f>HYPERLINK("https%3A%2F%2Fwww.webofscience.com%2Fwos%2Fwoscc%2Ffull-record%2FWOS:001185603600001","View Full Record in Web of Science")</f>
        <v>View Full Record in Web of Science</v>
      </c>
    </row>
    <row r="30" spans="1:72" x14ac:dyDescent="0.15">
      <c r="A30" t="s">
        <v>252</v>
      </c>
      <c r="B30" t="s">
        <v>363</v>
      </c>
      <c r="C30" t="s">
        <v>74</v>
      </c>
      <c r="D30" t="s">
        <v>74</v>
      </c>
      <c r="E30" t="s">
        <v>254</v>
      </c>
      <c r="F30" t="s">
        <v>364</v>
      </c>
      <c r="G30" t="s">
        <v>74</v>
      </c>
      <c r="H30" t="s">
        <v>74</v>
      </c>
      <c r="I30" t="s">
        <v>365</v>
      </c>
      <c r="J30" t="s">
        <v>366</v>
      </c>
      <c r="K30" t="s">
        <v>74</v>
      </c>
      <c r="L30" t="s">
        <v>74</v>
      </c>
      <c r="M30" t="s">
        <v>74</v>
      </c>
      <c r="N30" t="s">
        <v>74</v>
      </c>
      <c r="O30" t="s">
        <v>367</v>
      </c>
      <c r="P30" t="s">
        <v>368</v>
      </c>
      <c r="Q30" t="s">
        <v>369</v>
      </c>
      <c r="R30" t="s">
        <v>262</v>
      </c>
      <c r="S30" t="s">
        <v>74</v>
      </c>
      <c r="T30" t="s">
        <v>74</v>
      </c>
      <c r="U30" t="s">
        <v>74</v>
      </c>
      <c r="V30" t="s">
        <v>370</v>
      </c>
      <c r="W30" t="s">
        <v>74</v>
      </c>
      <c r="X30" t="s">
        <v>74</v>
      </c>
      <c r="Y30" t="s">
        <v>74</v>
      </c>
      <c r="Z30" t="s">
        <v>74</v>
      </c>
      <c r="AA30" t="s">
        <v>371</v>
      </c>
      <c r="AB30" t="s">
        <v>372</v>
      </c>
      <c r="AC30" t="s">
        <v>74</v>
      </c>
      <c r="AD30" t="s">
        <v>74</v>
      </c>
      <c r="AE30" t="s">
        <v>74</v>
      </c>
      <c r="AF30" t="s">
        <v>74</v>
      </c>
      <c r="AG30" t="s">
        <v>74</v>
      </c>
      <c r="AH30" t="s">
        <v>74</v>
      </c>
      <c r="AI30" t="s">
        <v>74</v>
      </c>
      <c r="AJ30" t="s">
        <v>74</v>
      </c>
      <c r="AK30" t="s">
        <v>74</v>
      </c>
      <c r="AL30" t="s">
        <v>74</v>
      </c>
      <c r="AM30" t="s">
        <v>74</v>
      </c>
      <c r="AN30" t="s">
        <v>74</v>
      </c>
      <c r="AO30" t="s">
        <v>74</v>
      </c>
      <c r="AP30" t="s">
        <v>74</v>
      </c>
      <c r="AQ30" t="s">
        <v>373</v>
      </c>
      <c r="AR30" t="s">
        <v>74</v>
      </c>
      <c r="AS30" t="s">
        <v>74</v>
      </c>
      <c r="AT30" t="s">
        <v>74</v>
      </c>
      <c r="AU30">
        <v>2024</v>
      </c>
      <c r="AV30" t="s">
        <v>74</v>
      </c>
      <c r="AW30" t="s">
        <v>74</v>
      </c>
      <c r="AX30" t="s">
        <v>74</v>
      </c>
      <c r="AY30" t="s">
        <v>74</v>
      </c>
      <c r="AZ30" t="s">
        <v>74</v>
      </c>
      <c r="BA30" t="s">
        <v>74</v>
      </c>
      <c r="BB30">
        <v>752</v>
      </c>
      <c r="BC30">
        <v>755</v>
      </c>
      <c r="BD30" t="s">
        <v>74</v>
      </c>
      <c r="BE30" t="s">
        <v>374</v>
      </c>
      <c r="BF30" t="str">
        <f>HYPERLINK("http://dx.doi.org/10.1109/InGARSS61818.2024.10984375","http://dx.doi.org/10.1109/InGARSS61818.2024.10984375")</f>
        <v>http://dx.doi.org/10.1109/InGARSS61818.2024.10984375</v>
      </c>
      <c r="BG30" t="s">
        <v>74</v>
      </c>
      <c r="BH30" t="s">
        <v>74</v>
      </c>
      <c r="BI30" t="s">
        <v>74</v>
      </c>
      <c r="BJ30" t="s">
        <v>74</v>
      </c>
      <c r="BK30" t="s">
        <v>74</v>
      </c>
      <c r="BL30" t="s">
        <v>74</v>
      </c>
      <c r="BM30" t="s">
        <v>74</v>
      </c>
      <c r="BN30" t="s">
        <v>74</v>
      </c>
      <c r="BO30" t="s">
        <v>74</v>
      </c>
      <c r="BP30" t="s">
        <v>74</v>
      </c>
      <c r="BQ30" t="s">
        <v>74</v>
      </c>
      <c r="BR30" t="s">
        <v>74</v>
      </c>
      <c r="BS30" t="s">
        <v>375</v>
      </c>
      <c r="BT30" t="str">
        <f>HYPERLINK("https%3A%2F%2Fwww.webofscience.com%2Fwos%2Fwoscc%2Ffull-record%2FWOS:001515777600207","View Full Record in Web of Science")</f>
        <v>View Full Record in Web of Science</v>
      </c>
    </row>
    <row r="31" spans="1:72" x14ac:dyDescent="0.15">
      <c r="A31" t="s">
        <v>72</v>
      </c>
      <c r="B31" t="s">
        <v>376</v>
      </c>
      <c r="C31" t="s">
        <v>74</v>
      </c>
      <c r="D31" t="s">
        <v>74</v>
      </c>
      <c r="E31" t="s">
        <v>74</v>
      </c>
      <c r="F31" t="s">
        <v>377</v>
      </c>
      <c r="G31" t="s">
        <v>74</v>
      </c>
      <c r="H31" t="s">
        <v>74</v>
      </c>
      <c r="I31" t="s">
        <v>378</v>
      </c>
      <c r="J31" t="s">
        <v>244</v>
      </c>
      <c r="K31" t="s">
        <v>74</v>
      </c>
      <c r="L31" t="s">
        <v>74</v>
      </c>
      <c r="M31" t="s">
        <v>74</v>
      </c>
      <c r="N31" t="s">
        <v>74</v>
      </c>
      <c r="O31" t="s">
        <v>74</v>
      </c>
      <c r="P31" t="s">
        <v>74</v>
      </c>
      <c r="Q31" t="s">
        <v>74</v>
      </c>
      <c r="R31" t="s">
        <v>74</v>
      </c>
      <c r="S31" t="s">
        <v>74</v>
      </c>
      <c r="T31" t="s">
        <v>74</v>
      </c>
      <c r="U31" t="s">
        <v>74</v>
      </c>
      <c r="V31" t="s">
        <v>379</v>
      </c>
      <c r="W31" t="s">
        <v>74</v>
      </c>
      <c r="X31" t="s">
        <v>74</v>
      </c>
      <c r="Y31" t="s">
        <v>74</v>
      </c>
      <c r="Z31" t="s">
        <v>74</v>
      </c>
      <c r="AA31" t="s">
        <v>380</v>
      </c>
      <c r="AB31" t="s">
        <v>381</v>
      </c>
      <c r="AC31" t="s">
        <v>74</v>
      </c>
      <c r="AD31" t="s">
        <v>74</v>
      </c>
      <c r="AE31" t="s">
        <v>74</v>
      </c>
      <c r="AF31" t="s">
        <v>74</v>
      </c>
      <c r="AG31" t="s">
        <v>74</v>
      </c>
      <c r="AH31" t="s">
        <v>74</v>
      </c>
      <c r="AI31" t="s">
        <v>74</v>
      </c>
      <c r="AJ31" t="s">
        <v>74</v>
      </c>
      <c r="AK31" t="s">
        <v>74</v>
      </c>
      <c r="AL31" t="s">
        <v>74</v>
      </c>
      <c r="AM31" t="s">
        <v>74</v>
      </c>
      <c r="AN31" t="s">
        <v>74</v>
      </c>
      <c r="AO31" t="s">
        <v>248</v>
      </c>
      <c r="AP31" t="s">
        <v>249</v>
      </c>
      <c r="AQ31" t="s">
        <v>74</v>
      </c>
      <c r="AR31" t="s">
        <v>74</v>
      </c>
      <c r="AS31" t="s">
        <v>74</v>
      </c>
      <c r="AT31" t="s">
        <v>74</v>
      </c>
      <c r="AU31">
        <v>2024</v>
      </c>
      <c r="AV31">
        <v>17</v>
      </c>
      <c r="AW31" t="s">
        <v>74</v>
      </c>
      <c r="AX31" t="s">
        <v>74</v>
      </c>
      <c r="AY31" t="s">
        <v>74</v>
      </c>
      <c r="AZ31" t="s">
        <v>74</v>
      </c>
      <c r="BA31" t="s">
        <v>74</v>
      </c>
      <c r="BB31">
        <v>2901</v>
      </c>
      <c r="BC31">
        <v>2917</v>
      </c>
      <c r="BD31" t="s">
        <v>74</v>
      </c>
      <c r="BE31" t="s">
        <v>382</v>
      </c>
      <c r="BF31" t="str">
        <f>HYPERLINK("http://dx.doi.org/10.1109/JSTARS.2023.3342990","http://dx.doi.org/10.1109/JSTARS.2023.3342990")</f>
        <v>http://dx.doi.org/10.1109/JSTARS.2023.3342990</v>
      </c>
      <c r="BG31" t="s">
        <v>74</v>
      </c>
      <c r="BH31" t="s">
        <v>74</v>
      </c>
      <c r="BI31" t="s">
        <v>74</v>
      </c>
      <c r="BJ31" t="s">
        <v>74</v>
      </c>
      <c r="BK31" t="s">
        <v>74</v>
      </c>
      <c r="BL31" t="s">
        <v>74</v>
      </c>
      <c r="BM31" t="s">
        <v>74</v>
      </c>
      <c r="BN31" t="s">
        <v>74</v>
      </c>
      <c r="BO31" t="s">
        <v>74</v>
      </c>
      <c r="BP31" t="s">
        <v>74</v>
      </c>
      <c r="BQ31" t="s">
        <v>74</v>
      </c>
      <c r="BR31" t="s">
        <v>74</v>
      </c>
      <c r="BS31" t="s">
        <v>383</v>
      </c>
      <c r="BT31" t="str">
        <f>HYPERLINK("https%3A%2F%2Fwww.webofscience.com%2Fwos%2Fwoscc%2Ffull-record%2FWOS:001144739300006","View Full Record in Web of Science")</f>
        <v>View Full Record in Web of Science</v>
      </c>
    </row>
    <row r="32" spans="1:72" x14ac:dyDescent="0.15">
      <c r="A32" t="s">
        <v>252</v>
      </c>
      <c r="B32" t="s">
        <v>384</v>
      </c>
      <c r="C32" t="s">
        <v>74</v>
      </c>
      <c r="D32" t="s">
        <v>74</v>
      </c>
      <c r="E32" t="s">
        <v>254</v>
      </c>
      <c r="F32" t="s">
        <v>385</v>
      </c>
      <c r="G32" t="s">
        <v>74</v>
      </c>
      <c r="H32" t="s">
        <v>74</v>
      </c>
      <c r="I32" t="s">
        <v>386</v>
      </c>
      <c r="J32" t="s">
        <v>387</v>
      </c>
      <c r="K32" t="s">
        <v>258</v>
      </c>
      <c r="L32" t="s">
        <v>74</v>
      </c>
      <c r="M32" t="s">
        <v>74</v>
      </c>
      <c r="N32" t="s">
        <v>74</v>
      </c>
      <c r="O32" t="s">
        <v>388</v>
      </c>
      <c r="P32" t="s">
        <v>389</v>
      </c>
      <c r="Q32" t="s">
        <v>390</v>
      </c>
      <c r="R32" t="s">
        <v>391</v>
      </c>
      <c r="S32" t="s">
        <v>74</v>
      </c>
      <c r="T32" t="s">
        <v>74</v>
      </c>
      <c r="U32" t="s">
        <v>74</v>
      </c>
      <c r="V32" t="s">
        <v>392</v>
      </c>
      <c r="W32" t="s">
        <v>74</v>
      </c>
      <c r="X32" t="s">
        <v>74</v>
      </c>
      <c r="Y32" t="s">
        <v>74</v>
      </c>
      <c r="Z32" t="s">
        <v>74</v>
      </c>
      <c r="AA32" t="s">
        <v>74</v>
      </c>
      <c r="AB32" t="s">
        <v>74</v>
      </c>
      <c r="AC32" t="s">
        <v>74</v>
      </c>
      <c r="AD32" t="s">
        <v>74</v>
      </c>
      <c r="AE32" t="s">
        <v>74</v>
      </c>
      <c r="AF32" t="s">
        <v>74</v>
      </c>
      <c r="AG32" t="s">
        <v>74</v>
      </c>
      <c r="AH32" t="s">
        <v>74</v>
      </c>
      <c r="AI32" t="s">
        <v>74</v>
      </c>
      <c r="AJ32" t="s">
        <v>74</v>
      </c>
      <c r="AK32" t="s">
        <v>74</v>
      </c>
      <c r="AL32" t="s">
        <v>74</v>
      </c>
      <c r="AM32" t="s">
        <v>74</v>
      </c>
      <c r="AN32" t="s">
        <v>74</v>
      </c>
      <c r="AO32" t="s">
        <v>265</v>
      </c>
      <c r="AP32" t="s">
        <v>74</v>
      </c>
      <c r="AQ32" t="s">
        <v>393</v>
      </c>
      <c r="AR32" t="s">
        <v>74</v>
      </c>
      <c r="AS32" t="s">
        <v>74</v>
      </c>
      <c r="AT32" t="s">
        <v>74</v>
      </c>
      <c r="AU32">
        <v>2024</v>
      </c>
      <c r="AV32" t="s">
        <v>74</v>
      </c>
      <c r="AW32" t="s">
        <v>74</v>
      </c>
      <c r="AX32" t="s">
        <v>74</v>
      </c>
      <c r="AY32" t="s">
        <v>74</v>
      </c>
      <c r="AZ32" t="s">
        <v>74</v>
      </c>
      <c r="BA32" t="s">
        <v>74</v>
      </c>
      <c r="BB32">
        <v>1869</v>
      </c>
      <c r="BC32">
        <v>1872</v>
      </c>
      <c r="BD32" t="s">
        <v>74</v>
      </c>
      <c r="BE32" t="s">
        <v>394</v>
      </c>
      <c r="BF32" t="str">
        <f>HYPERLINK("http://dx.doi.org/10.1109/IGARSS53475.2024.10641609","http://dx.doi.org/10.1109/IGARSS53475.2024.10641609")</f>
        <v>http://dx.doi.org/10.1109/IGARSS53475.2024.10641609</v>
      </c>
      <c r="BG32" t="s">
        <v>74</v>
      </c>
      <c r="BH32" t="s">
        <v>74</v>
      </c>
      <c r="BI32" t="s">
        <v>74</v>
      </c>
      <c r="BJ32" t="s">
        <v>74</v>
      </c>
      <c r="BK32" t="s">
        <v>74</v>
      </c>
      <c r="BL32" t="s">
        <v>74</v>
      </c>
      <c r="BM32" t="s">
        <v>74</v>
      </c>
      <c r="BN32" t="s">
        <v>74</v>
      </c>
      <c r="BO32" t="s">
        <v>74</v>
      </c>
      <c r="BP32" t="s">
        <v>74</v>
      </c>
      <c r="BQ32" t="s">
        <v>74</v>
      </c>
      <c r="BR32" t="s">
        <v>74</v>
      </c>
      <c r="BS32" t="s">
        <v>395</v>
      </c>
      <c r="BT32" t="str">
        <f>HYPERLINK("https%3A%2F%2Fwww.webofscience.com%2Fwos%2Fwoscc%2Ffull-record%2FWOS:001316158502060","View Full Record in Web of Science")</f>
        <v>View Full Record in Web of Science</v>
      </c>
    </row>
    <row r="33" spans="1:72" x14ac:dyDescent="0.15">
      <c r="A33" t="s">
        <v>72</v>
      </c>
      <c r="B33" t="s">
        <v>396</v>
      </c>
      <c r="C33" t="s">
        <v>74</v>
      </c>
      <c r="D33" t="s">
        <v>74</v>
      </c>
      <c r="E33" t="s">
        <v>74</v>
      </c>
      <c r="F33" t="s">
        <v>397</v>
      </c>
      <c r="G33" t="s">
        <v>74</v>
      </c>
      <c r="H33" t="s">
        <v>74</v>
      </c>
      <c r="I33" t="s">
        <v>398</v>
      </c>
      <c r="J33" t="s">
        <v>399</v>
      </c>
      <c r="K33" t="s">
        <v>74</v>
      </c>
      <c r="L33" t="s">
        <v>74</v>
      </c>
      <c r="M33" t="s">
        <v>74</v>
      </c>
      <c r="N33" t="s">
        <v>74</v>
      </c>
      <c r="O33" t="s">
        <v>74</v>
      </c>
      <c r="P33" t="s">
        <v>74</v>
      </c>
      <c r="Q33" t="s">
        <v>74</v>
      </c>
      <c r="R33" t="s">
        <v>74</v>
      </c>
      <c r="S33" t="s">
        <v>74</v>
      </c>
      <c r="T33" t="s">
        <v>74</v>
      </c>
      <c r="U33" t="s">
        <v>74</v>
      </c>
      <c r="V33" t="s">
        <v>400</v>
      </c>
      <c r="W33" t="s">
        <v>74</v>
      </c>
      <c r="X33" t="s">
        <v>74</v>
      </c>
      <c r="Y33" t="s">
        <v>74</v>
      </c>
      <c r="Z33" t="s">
        <v>74</v>
      </c>
      <c r="AA33" t="s">
        <v>401</v>
      </c>
      <c r="AB33" t="s">
        <v>402</v>
      </c>
      <c r="AC33" t="s">
        <v>74</v>
      </c>
      <c r="AD33" t="s">
        <v>74</v>
      </c>
      <c r="AE33" t="s">
        <v>74</v>
      </c>
      <c r="AF33" t="s">
        <v>74</v>
      </c>
      <c r="AG33" t="s">
        <v>74</v>
      </c>
      <c r="AH33" t="s">
        <v>74</v>
      </c>
      <c r="AI33" t="s">
        <v>74</v>
      </c>
      <c r="AJ33" t="s">
        <v>74</v>
      </c>
      <c r="AK33" t="s">
        <v>74</v>
      </c>
      <c r="AL33" t="s">
        <v>74</v>
      </c>
      <c r="AM33" t="s">
        <v>74</v>
      </c>
      <c r="AN33" t="s">
        <v>74</v>
      </c>
      <c r="AO33" t="s">
        <v>403</v>
      </c>
      <c r="AP33" t="s">
        <v>404</v>
      </c>
      <c r="AQ33" t="s">
        <v>74</v>
      </c>
      <c r="AR33" t="s">
        <v>74</v>
      </c>
      <c r="AS33" t="s">
        <v>74</v>
      </c>
      <c r="AT33" t="s">
        <v>405</v>
      </c>
      <c r="AU33">
        <v>2024</v>
      </c>
      <c r="AV33">
        <v>25</v>
      </c>
      <c r="AW33">
        <v>1</v>
      </c>
      <c r="AX33" t="s">
        <v>74</v>
      </c>
      <c r="AY33" t="s">
        <v>74</v>
      </c>
      <c r="AZ33" t="s">
        <v>74</v>
      </c>
      <c r="BA33" t="s">
        <v>74</v>
      </c>
      <c r="BB33">
        <v>65</v>
      </c>
      <c r="BC33">
        <v>88</v>
      </c>
      <c r="BD33" t="s">
        <v>74</v>
      </c>
      <c r="BE33" t="s">
        <v>406</v>
      </c>
      <c r="BF33" t="str">
        <f>HYPERLINK("http://dx.doi.org/10.1175/JHM-D-23-0047.1","http://dx.doi.org/10.1175/JHM-D-23-0047.1")</f>
        <v>http://dx.doi.org/10.1175/JHM-D-23-0047.1</v>
      </c>
      <c r="BG33" t="s">
        <v>74</v>
      </c>
      <c r="BH33" t="s">
        <v>74</v>
      </c>
      <c r="BI33" t="s">
        <v>74</v>
      </c>
      <c r="BJ33" t="s">
        <v>74</v>
      </c>
      <c r="BK33" t="s">
        <v>74</v>
      </c>
      <c r="BL33" t="s">
        <v>74</v>
      </c>
      <c r="BM33" t="s">
        <v>74</v>
      </c>
      <c r="BN33" t="s">
        <v>74</v>
      </c>
      <c r="BO33" t="s">
        <v>74</v>
      </c>
      <c r="BP33" t="s">
        <v>74</v>
      </c>
      <c r="BQ33" t="s">
        <v>74</v>
      </c>
      <c r="BR33" t="s">
        <v>74</v>
      </c>
      <c r="BS33" t="s">
        <v>407</v>
      </c>
      <c r="BT33" t="str">
        <f>HYPERLINK("https%3A%2F%2Fwww.webofscience.com%2Fwos%2Fwoscc%2Ffull-record%2FWOS:001131597600001","View Full Record in Web of Science")</f>
        <v>View Full Record in Web of Science</v>
      </c>
    </row>
    <row r="34" spans="1:72" x14ac:dyDescent="0.15">
      <c r="A34" t="s">
        <v>252</v>
      </c>
      <c r="B34" t="s">
        <v>408</v>
      </c>
      <c r="C34" t="s">
        <v>74</v>
      </c>
      <c r="D34" t="s">
        <v>74</v>
      </c>
      <c r="E34" t="s">
        <v>254</v>
      </c>
      <c r="F34" t="s">
        <v>409</v>
      </c>
      <c r="G34" t="s">
        <v>74</v>
      </c>
      <c r="H34" t="s">
        <v>74</v>
      </c>
      <c r="I34" t="s">
        <v>410</v>
      </c>
      <c r="J34" t="s">
        <v>387</v>
      </c>
      <c r="K34" t="s">
        <v>258</v>
      </c>
      <c r="L34" t="s">
        <v>74</v>
      </c>
      <c r="M34" t="s">
        <v>74</v>
      </c>
      <c r="N34" t="s">
        <v>74</v>
      </c>
      <c r="O34" t="s">
        <v>388</v>
      </c>
      <c r="P34" t="s">
        <v>389</v>
      </c>
      <c r="Q34" t="s">
        <v>390</v>
      </c>
      <c r="R34" t="s">
        <v>391</v>
      </c>
      <c r="S34" t="s">
        <v>74</v>
      </c>
      <c r="T34" t="s">
        <v>74</v>
      </c>
      <c r="U34" t="s">
        <v>74</v>
      </c>
      <c r="V34" t="s">
        <v>411</v>
      </c>
      <c r="W34" t="s">
        <v>74</v>
      </c>
      <c r="X34" t="s">
        <v>74</v>
      </c>
      <c r="Y34" t="s">
        <v>74</v>
      </c>
      <c r="Z34" t="s">
        <v>74</v>
      </c>
      <c r="AA34" t="s">
        <v>74</v>
      </c>
      <c r="AB34" t="s">
        <v>74</v>
      </c>
      <c r="AC34" t="s">
        <v>74</v>
      </c>
      <c r="AD34" t="s">
        <v>74</v>
      </c>
      <c r="AE34" t="s">
        <v>74</v>
      </c>
      <c r="AF34" t="s">
        <v>74</v>
      </c>
      <c r="AG34" t="s">
        <v>74</v>
      </c>
      <c r="AH34" t="s">
        <v>74</v>
      </c>
      <c r="AI34" t="s">
        <v>74</v>
      </c>
      <c r="AJ34" t="s">
        <v>74</v>
      </c>
      <c r="AK34" t="s">
        <v>74</v>
      </c>
      <c r="AL34" t="s">
        <v>74</v>
      </c>
      <c r="AM34" t="s">
        <v>74</v>
      </c>
      <c r="AN34" t="s">
        <v>74</v>
      </c>
      <c r="AO34" t="s">
        <v>265</v>
      </c>
      <c r="AP34" t="s">
        <v>74</v>
      </c>
      <c r="AQ34" t="s">
        <v>393</v>
      </c>
      <c r="AR34" t="s">
        <v>74</v>
      </c>
      <c r="AS34" t="s">
        <v>74</v>
      </c>
      <c r="AT34" t="s">
        <v>74</v>
      </c>
      <c r="AU34">
        <v>2024</v>
      </c>
      <c r="AV34" t="s">
        <v>74</v>
      </c>
      <c r="AW34" t="s">
        <v>74</v>
      </c>
      <c r="AX34" t="s">
        <v>74</v>
      </c>
      <c r="AY34" t="s">
        <v>74</v>
      </c>
      <c r="AZ34" t="s">
        <v>74</v>
      </c>
      <c r="BA34" t="s">
        <v>74</v>
      </c>
      <c r="BB34">
        <v>1873</v>
      </c>
      <c r="BC34">
        <v>1877</v>
      </c>
      <c r="BD34" t="s">
        <v>74</v>
      </c>
      <c r="BE34" t="s">
        <v>412</v>
      </c>
      <c r="BF34" t="str">
        <f>HYPERLINK("http://dx.doi.org/10.1109/IGARSS53475.2024.10642493","http://dx.doi.org/10.1109/IGARSS53475.2024.10642493")</f>
        <v>http://dx.doi.org/10.1109/IGARSS53475.2024.10642493</v>
      </c>
      <c r="BG34" t="s">
        <v>74</v>
      </c>
      <c r="BH34" t="s">
        <v>74</v>
      </c>
      <c r="BI34" t="s">
        <v>74</v>
      </c>
      <c r="BJ34" t="s">
        <v>74</v>
      </c>
      <c r="BK34" t="s">
        <v>74</v>
      </c>
      <c r="BL34" t="s">
        <v>74</v>
      </c>
      <c r="BM34" t="s">
        <v>74</v>
      </c>
      <c r="BN34" t="s">
        <v>74</v>
      </c>
      <c r="BO34" t="s">
        <v>74</v>
      </c>
      <c r="BP34" t="s">
        <v>74</v>
      </c>
      <c r="BQ34" t="s">
        <v>74</v>
      </c>
      <c r="BR34" t="s">
        <v>74</v>
      </c>
      <c r="BS34" t="s">
        <v>413</v>
      </c>
      <c r="BT34" t="str">
        <f>HYPERLINK("https%3A%2F%2Fwww.webofscience.com%2Fwos%2Fwoscc%2Ffull-record%2FWOS:001316158502061","View Full Record in Web of Science")</f>
        <v>View Full Record in Web of Science</v>
      </c>
    </row>
    <row r="35" spans="1:72" x14ac:dyDescent="0.15">
      <c r="A35" t="s">
        <v>72</v>
      </c>
      <c r="B35" t="s">
        <v>414</v>
      </c>
      <c r="C35" t="s">
        <v>74</v>
      </c>
      <c r="D35" t="s">
        <v>74</v>
      </c>
      <c r="E35" t="s">
        <v>74</v>
      </c>
      <c r="F35" t="s">
        <v>415</v>
      </c>
      <c r="G35" t="s">
        <v>74</v>
      </c>
      <c r="H35" t="s">
        <v>74</v>
      </c>
      <c r="I35" t="s">
        <v>416</v>
      </c>
      <c r="J35" t="s">
        <v>244</v>
      </c>
      <c r="K35" t="s">
        <v>74</v>
      </c>
      <c r="L35" t="s">
        <v>74</v>
      </c>
      <c r="M35" t="s">
        <v>74</v>
      </c>
      <c r="N35" t="s">
        <v>74</v>
      </c>
      <c r="O35" t="s">
        <v>74</v>
      </c>
      <c r="P35" t="s">
        <v>74</v>
      </c>
      <c r="Q35" t="s">
        <v>74</v>
      </c>
      <c r="R35" t="s">
        <v>74</v>
      </c>
      <c r="S35" t="s">
        <v>74</v>
      </c>
      <c r="T35" t="s">
        <v>74</v>
      </c>
      <c r="U35" t="s">
        <v>74</v>
      </c>
      <c r="V35" t="s">
        <v>417</v>
      </c>
      <c r="W35" t="s">
        <v>74</v>
      </c>
      <c r="X35" t="s">
        <v>74</v>
      </c>
      <c r="Y35" t="s">
        <v>74</v>
      </c>
      <c r="Z35" t="s">
        <v>74</v>
      </c>
      <c r="AA35" t="s">
        <v>418</v>
      </c>
      <c r="AB35" t="s">
        <v>419</v>
      </c>
      <c r="AC35" t="s">
        <v>74</v>
      </c>
      <c r="AD35" t="s">
        <v>74</v>
      </c>
      <c r="AE35" t="s">
        <v>74</v>
      </c>
      <c r="AF35" t="s">
        <v>74</v>
      </c>
      <c r="AG35" t="s">
        <v>74</v>
      </c>
      <c r="AH35" t="s">
        <v>74</v>
      </c>
      <c r="AI35" t="s">
        <v>74</v>
      </c>
      <c r="AJ35" t="s">
        <v>74</v>
      </c>
      <c r="AK35" t="s">
        <v>74</v>
      </c>
      <c r="AL35" t="s">
        <v>74</v>
      </c>
      <c r="AM35" t="s">
        <v>74</v>
      </c>
      <c r="AN35" t="s">
        <v>74</v>
      </c>
      <c r="AO35" t="s">
        <v>248</v>
      </c>
      <c r="AP35" t="s">
        <v>249</v>
      </c>
      <c r="AQ35" t="s">
        <v>74</v>
      </c>
      <c r="AR35" t="s">
        <v>74</v>
      </c>
      <c r="AS35" t="s">
        <v>74</v>
      </c>
      <c r="AT35" t="s">
        <v>74</v>
      </c>
      <c r="AU35">
        <v>2024</v>
      </c>
      <c r="AV35">
        <v>17</v>
      </c>
      <c r="AW35" t="s">
        <v>74</v>
      </c>
      <c r="AX35" t="s">
        <v>74</v>
      </c>
      <c r="AY35" t="s">
        <v>74</v>
      </c>
      <c r="AZ35" t="s">
        <v>74</v>
      </c>
      <c r="BA35" t="s">
        <v>74</v>
      </c>
      <c r="BB35">
        <v>10083</v>
      </c>
      <c r="BC35">
        <v>10096</v>
      </c>
      <c r="BD35" t="s">
        <v>74</v>
      </c>
      <c r="BE35" t="s">
        <v>420</v>
      </c>
      <c r="BF35" t="str">
        <f>HYPERLINK("http://dx.doi.org/10.1109/JSTARS.2024.3360087","http://dx.doi.org/10.1109/JSTARS.2024.3360087")</f>
        <v>http://dx.doi.org/10.1109/JSTARS.2024.3360087</v>
      </c>
      <c r="BG35" t="s">
        <v>74</v>
      </c>
      <c r="BH35" t="s">
        <v>74</v>
      </c>
      <c r="BI35" t="s">
        <v>74</v>
      </c>
      <c r="BJ35" t="s">
        <v>74</v>
      </c>
      <c r="BK35" t="s">
        <v>74</v>
      </c>
      <c r="BL35" t="s">
        <v>74</v>
      </c>
      <c r="BM35" t="s">
        <v>74</v>
      </c>
      <c r="BN35" t="s">
        <v>74</v>
      </c>
      <c r="BO35" t="s">
        <v>74</v>
      </c>
      <c r="BP35" t="s">
        <v>74</v>
      </c>
      <c r="BQ35" t="s">
        <v>74</v>
      </c>
      <c r="BR35" t="s">
        <v>74</v>
      </c>
      <c r="BS35" t="s">
        <v>421</v>
      </c>
      <c r="BT35" t="str">
        <f>HYPERLINK("https%3A%2F%2Fwww.webofscience.com%2Fwos%2Fwoscc%2Ffull-record%2FWOS:001236723400012","View Full Record in Web of Science")</f>
        <v>View Full Record in Web of Science</v>
      </c>
    </row>
    <row r="36" spans="1:72" x14ac:dyDescent="0.15">
      <c r="A36" t="s">
        <v>252</v>
      </c>
      <c r="B36" t="s">
        <v>422</v>
      </c>
      <c r="C36" t="s">
        <v>74</v>
      </c>
      <c r="D36" t="s">
        <v>74</v>
      </c>
      <c r="E36" t="s">
        <v>254</v>
      </c>
      <c r="F36" t="s">
        <v>423</v>
      </c>
      <c r="G36" t="s">
        <v>74</v>
      </c>
      <c r="H36" t="s">
        <v>74</v>
      </c>
      <c r="I36" t="s">
        <v>424</v>
      </c>
      <c r="J36" t="s">
        <v>387</v>
      </c>
      <c r="K36" t="s">
        <v>258</v>
      </c>
      <c r="L36" t="s">
        <v>74</v>
      </c>
      <c r="M36" t="s">
        <v>74</v>
      </c>
      <c r="N36" t="s">
        <v>74</v>
      </c>
      <c r="O36" t="s">
        <v>388</v>
      </c>
      <c r="P36" t="s">
        <v>389</v>
      </c>
      <c r="Q36" t="s">
        <v>390</v>
      </c>
      <c r="R36" t="s">
        <v>391</v>
      </c>
      <c r="S36" t="s">
        <v>74</v>
      </c>
      <c r="T36" t="s">
        <v>74</v>
      </c>
      <c r="U36" t="s">
        <v>74</v>
      </c>
      <c r="V36" t="s">
        <v>425</v>
      </c>
      <c r="W36" t="s">
        <v>74</v>
      </c>
      <c r="X36" t="s">
        <v>74</v>
      </c>
      <c r="Y36" t="s">
        <v>74</v>
      </c>
      <c r="Z36" t="s">
        <v>74</v>
      </c>
      <c r="AA36" t="s">
        <v>426</v>
      </c>
      <c r="AB36" t="s">
        <v>427</v>
      </c>
      <c r="AC36" t="s">
        <v>74</v>
      </c>
      <c r="AD36" t="s">
        <v>74</v>
      </c>
      <c r="AE36" t="s">
        <v>74</v>
      </c>
      <c r="AF36" t="s">
        <v>74</v>
      </c>
      <c r="AG36" t="s">
        <v>74</v>
      </c>
      <c r="AH36" t="s">
        <v>74</v>
      </c>
      <c r="AI36" t="s">
        <v>74</v>
      </c>
      <c r="AJ36" t="s">
        <v>74</v>
      </c>
      <c r="AK36" t="s">
        <v>74</v>
      </c>
      <c r="AL36" t="s">
        <v>74</v>
      </c>
      <c r="AM36" t="s">
        <v>74</v>
      </c>
      <c r="AN36" t="s">
        <v>74</v>
      </c>
      <c r="AO36" t="s">
        <v>265</v>
      </c>
      <c r="AP36" t="s">
        <v>74</v>
      </c>
      <c r="AQ36" t="s">
        <v>393</v>
      </c>
      <c r="AR36" t="s">
        <v>74</v>
      </c>
      <c r="AS36" t="s">
        <v>74</v>
      </c>
      <c r="AT36" t="s">
        <v>74</v>
      </c>
      <c r="AU36">
        <v>2024</v>
      </c>
      <c r="AV36" t="s">
        <v>74</v>
      </c>
      <c r="AW36" t="s">
        <v>74</v>
      </c>
      <c r="AX36" t="s">
        <v>74</v>
      </c>
      <c r="AY36" t="s">
        <v>74</v>
      </c>
      <c r="AZ36" t="s">
        <v>74</v>
      </c>
      <c r="BA36" t="s">
        <v>74</v>
      </c>
      <c r="BB36">
        <v>631</v>
      </c>
      <c r="BC36">
        <v>634</v>
      </c>
      <c r="BD36" t="s">
        <v>74</v>
      </c>
      <c r="BE36" t="s">
        <v>428</v>
      </c>
      <c r="BF36" t="str">
        <f>HYPERLINK("http://dx.doi.org/10.1109/IGARSS53475.2024.10642383","http://dx.doi.org/10.1109/IGARSS53475.2024.10642383")</f>
        <v>http://dx.doi.org/10.1109/IGARSS53475.2024.10642383</v>
      </c>
      <c r="BG36" t="s">
        <v>74</v>
      </c>
      <c r="BH36" t="s">
        <v>74</v>
      </c>
      <c r="BI36" t="s">
        <v>74</v>
      </c>
      <c r="BJ36" t="s">
        <v>74</v>
      </c>
      <c r="BK36" t="s">
        <v>74</v>
      </c>
      <c r="BL36" t="s">
        <v>74</v>
      </c>
      <c r="BM36" t="s">
        <v>74</v>
      </c>
      <c r="BN36" t="s">
        <v>74</v>
      </c>
      <c r="BO36" t="s">
        <v>74</v>
      </c>
      <c r="BP36" t="s">
        <v>74</v>
      </c>
      <c r="BQ36" t="s">
        <v>74</v>
      </c>
      <c r="BR36" t="s">
        <v>74</v>
      </c>
      <c r="BS36" t="s">
        <v>429</v>
      </c>
      <c r="BT36" t="str">
        <f>HYPERLINK("https%3A%2F%2Fwww.webofscience.com%2Fwos%2Fwoscc%2Ffull-record%2FWOS:001316158501007","View Full Record in Web of Science")</f>
        <v>View Full Record in Web of Science</v>
      </c>
    </row>
    <row r="37" spans="1:72" x14ac:dyDescent="0.15">
      <c r="A37" t="s">
        <v>252</v>
      </c>
      <c r="B37" t="s">
        <v>422</v>
      </c>
      <c r="C37" t="s">
        <v>74</v>
      </c>
      <c r="D37" t="s">
        <v>430</v>
      </c>
      <c r="E37" t="s">
        <v>74</v>
      </c>
      <c r="F37" t="s">
        <v>423</v>
      </c>
      <c r="G37" t="s">
        <v>74</v>
      </c>
      <c r="H37" t="s">
        <v>74</v>
      </c>
      <c r="I37" t="s">
        <v>431</v>
      </c>
      <c r="J37" t="s">
        <v>432</v>
      </c>
      <c r="K37" t="s">
        <v>433</v>
      </c>
      <c r="L37" t="s">
        <v>74</v>
      </c>
      <c r="M37" t="s">
        <v>74</v>
      </c>
      <c r="N37" t="s">
        <v>74</v>
      </c>
      <c r="O37" t="s">
        <v>434</v>
      </c>
      <c r="P37" t="s">
        <v>435</v>
      </c>
      <c r="Q37" t="s">
        <v>436</v>
      </c>
      <c r="R37" t="s">
        <v>437</v>
      </c>
      <c r="S37" t="s">
        <v>74</v>
      </c>
      <c r="T37" t="s">
        <v>74</v>
      </c>
      <c r="U37" t="s">
        <v>74</v>
      </c>
      <c r="V37" t="s">
        <v>438</v>
      </c>
      <c r="W37" t="s">
        <v>74</v>
      </c>
      <c r="X37" t="s">
        <v>74</v>
      </c>
      <c r="Y37" t="s">
        <v>74</v>
      </c>
      <c r="Z37" t="s">
        <v>74</v>
      </c>
      <c r="AA37" t="s">
        <v>439</v>
      </c>
      <c r="AB37" t="s">
        <v>440</v>
      </c>
      <c r="AC37" t="s">
        <v>74</v>
      </c>
      <c r="AD37" t="s">
        <v>74</v>
      </c>
      <c r="AE37" t="s">
        <v>74</v>
      </c>
      <c r="AF37" t="s">
        <v>74</v>
      </c>
      <c r="AG37" t="s">
        <v>74</v>
      </c>
      <c r="AH37" t="s">
        <v>74</v>
      </c>
      <c r="AI37" t="s">
        <v>74</v>
      </c>
      <c r="AJ37" t="s">
        <v>74</v>
      </c>
      <c r="AK37" t="s">
        <v>74</v>
      </c>
      <c r="AL37" t="s">
        <v>74</v>
      </c>
      <c r="AM37" t="s">
        <v>74</v>
      </c>
      <c r="AN37" t="s">
        <v>74</v>
      </c>
      <c r="AO37" t="s">
        <v>441</v>
      </c>
      <c r="AP37" t="s">
        <v>442</v>
      </c>
      <c r="AQ37" t="s">
        <v>443</v>
      </c>
      <c r="AR37" t="s">
        <v>74</v>
      </c>
      <c r="AS37" t="s">
        <v>74</v>
      </c>
      <c r="AT37" t="s">
        <v>74</v>
      </c>
      <c r="AU37">
        <v>2024</v>
      </c>
      <c r="AV37">
        <v>13195</v>
      </c>
      <c r="AW37" t="s">
        <v>74</v>
      </c>
      <c r="AX37" t="s">
        <v>74</v>
      </c>
      <c r="AY37" t="s">
        <v>74</v>
      </c>
      <c r="AZ37" t="s">
        <v>74</v>
      </c>
      <c r="BA37" t="s">
        <v>74</v>
      </c>
      <c r="BB37" t="s">
        <v>74</v>
      </c>
      <c r="BC37" t="s">
        <v>74</v>
      </c>
      <c r="BD37" t="s">
        <v>444</v>
      </c>
      <c r="BE37" t="s">
        <v>445</v>
      </c>
      <c r="BF37" t="str">
        <f>HYPERLINK("http://dx.doi.org/10.1117/12.3034917","http://dx.doi.org/10.1117/12.3034917")</f>
        <v>http://dx.doi.org/10.1117/12.3034917</v>
      </c>
      <c r="BG37" t="s">
        <v>74</v>
      </c>
      <c r="BH37" t="s">
        <v>74</v>
      </c>
      <c r="BI37" t="s">
        <v>74</v>
      </c>
      <c r="BJ37" t="s">
        <v>74</v>
      </c>
      <c r="BK37" t="s">
        <v>74</v>
      </c>
      <c r="BL37" t="s">
        <v>74</v>
      </c>
      <c r="BM37" t="s">
        <v>74</v>
      </c>
      <c r="BN37" t="s">
        <v>74</v>
      </c>
      <c r="BO37" t="s">
        <v>74</v>
      </c>
      <c r="BP37" t="s">
        <v>74</v>
      </c>
      <c r="BQ37" t="s">
        <v>74</v>
      </c>
      <c r="BR37" t="s">
        <v>74</v>
      </c>
      <c r="BS37" t="s">
        <v>446</v>
      </c>
      <c r="BT37" t="str">
        <f>HYPERLINK("https%3A%2F%2Fwww.webofscience.com%2Fwos%2Fwoscc%2Ffull-record%2FWOS:001519952500006","View Full Record in Web of Science")</f>
        <v>View Full Record in Web of Science</v>
      </c>
    </row>
    <row r="38" spans="1:72" x14ac:dyDescent="0.15">
      <c r="A38" t="s">
        <v>72</v>
      </c>
      <c r="B38" t="s">
        <v>447</v>
      </c>
      <c r="C38" t="s">
        <v>74</v>
      </c>
      <c r="D38" t="s">
        <v>74</v>
      </c>
      <c r="E38" t="s">
        <v>74</v>
      </c>
      <c r="F38" t="s">
        <v>448</v>
      </c>
      <c r="G38" t="s">
        <v>74</v>
      </c>
      <c r="H38" t="s">
        <v>74</v>
      </c>
      <c r="I38" t="s">
        <v>449</v>
      </c>
      <c r="J38" t="s">
        <v>450</v>
      </c>
      <c r="K38" t="s">
        <v>74</v>
      </c>
      <c r="L38" t="s">
        <v>74</v>
      </c>
      <c r="M38" t="s">
        <v>74</v>
      </c>
      <c r="N38" t="s">
        <v>74</v>
      </c>
      <c r="O38" t="s">
        <v>74</v>
      </c>
      <c r="P38" t="s">
        <v>74</v>
      </c>
      <c r="Q38" t="s">
        <v>74</v>
      </c>
      <c r="R38" t="s">
        <v>74</v>
      </c>
      <c r="S38" t="s">
        <v>74</v>
      </c>
      <c r="T38" t="s">
        <v>74</v>
      </c>
      <c r="U38" t="s">
        <v>74</v>
      </c>
      <c r="V38" t="s">
        <v>451</v>
      </c>
      <c r="W38" t="s">
        <v>74</v>
      </c>
      <c r="X38" t="s">
        <v>74</v>
      </c>
      <c r="Y38" t="s">
        <v>74</v>
      </c>
      <c r="Z38" t="s">
        <v>74</v>
      </c>
      <c r="AA38" t="s">
        <v>452</v>
      </c>
      <c r="AB38" t="s">
        <v>453</v>
      </c>
      <c r="AC38" t="s">
        <v>74</v>
      </c>
      <c r="AD38" t="s">
        <v>74</v>
      </c>
      <c r="AE38" t="s">
        <v>74</v>
      </c>
      <c r="AF38" t="s">
        <v>74</v>
      </c>
      <c r="AG38" t="s">
        <v>74</v>
      </c>
      <c r="AH38" t="s">
        <v>74</v>
      </c>
      <c r="AI38" t="s">
        <v>74</v>
      </c>
      <c r="AJ38" t="s">
        <v>74</v>
      </c>
      <c r="AK38" t="s">
        <v>74</v>
      </c>
      <c r="AL38" t="s">
        <v>74</v>
      </c>
      <c r="AM38" t="s">
        <v>74</v>
      </c>
      <c r="AN38" t="s">
        <v>74</v>
      </c>
      <c r="AO38" t="s">
        <v>454</v>
      </c>
      <c r="AP38" t="s">
        <v>455</v>
      </c>
      <c r="AQ38" t="s">
        <v>74</v>
      </c>
      <c r="AR38" t="s">
        <v>74</v>
      </c>
      <c r="AS38" t="s">
        <v>74</v>
      </c>
      <c r="AT38" t="s">
        <v>74</v>
      </c>
      <c r="AU38">
        <v>2024</v>
      </c>
      <c r="AV38">
        <v>21</v>
      </c>
      <c r="AW38" t="s">
        <v>74</v>
      </c>
      <c r="AX38" t="s">
        <v>74</v>
      </c>
      <c r="AY38" t="s">
        <v>74</v>
      </c>
      <c r="AZ38" t="s">
        <v>74</v>
      </c>
      <c r="BA38" t="s">
        <v>74</v>
      </c>
      <c r="BB38" t="s">
        <v>74</v>
      </c>
      <c r="BC38" t="s">
        <v>74</v>
      </c>
      <c r="BD38">
        <v>4006905</v>
      </c>
      <c r="BE38" t="s">
        <v>456</v>
      </c>
      <c r="BF38" t="str">
        <f>HYPERLINK("http://dx.doi.org/10.1109/LGRS.2024.3379202","http://dx.doi.org/10.1109/LGRS.2024.3379202")</f>
        <v>http://dx.doi.org/10.1109/LGRS.2024.3379202</v>
      </c>
      <c r="BG38" t="s">
        <v>74</v>
      </c>
      <c r="BH38" t="s">
        <v>74</v>
      </c>
      <c r="BI38" t="s">
        <v>74</v>
      </c>
      <c r="BJ38" t="s">
        <v>74</v>
      </c>
      <c r="BK38" t="s">
        <v>74</v>
      </c>
      <c r="BL38" t="s">
        <v>74</v>
      </c>
      <c r="BM38" t="s">
        <v>74</v>
      </c>
      <c r="BN38" t="s">
        <v>74</v>
      </c>
      <c r="BO38" t="s">
        <v>74</v>
      </c>
      <c r="BP38" t="s">
        <v>74</v>
      </c>
      <c r="BQ38" t="s">
        <v>74</v>
      </c>
      <c r="BR38" t="s">
        <v>74</v>
      </c>
      <c r="BS38" t="s">
        <v>457</v>
      </c>
      <c r="BT38" t="str">
        <f>HYPERLINK("https%3A%2F%2Fwww.webofscience.com%2Fwos%2Fwoscc%2Ffull-record%2FWOS:001193984600023","View Full Record in Web of Science")</f>
        <v>View Full Record in Web of Science</v>
      </c>
    </row>
    <row r="39" spans="1:72" x14ac:dyDescent="0.15">
      <c r="A39" t="s">
        <v>72</v>
      </c>
      <c r="B39" t="s">
        <v>458</v>
      </c>
      <c r="C39" t="s">
        <v>74</v>
      </c>
      <c r="D39" t="s">
        <v>74</v>
      </c>
      <c r="E39" t="s">
        <v>74</v>
      </c>
      <c r="F39" t="s">
        <v>459</v>
      </c>
      <c r="G39" t="s">
        <v>74</v>
      </c>
      <c r="H39" t="s">
        <v>74</v>
      </c>
      <c r="I39" t="s">
        <v>460</v>
      </c>
      <c r="J39" t="s">
        <v>214</v>
      </c>
      <c r="K39" t="s">
        <v>74</v>
      </c>
      <c r="L39" t="s">
        <v>74</v>
      </c>
      <c r="M39" t="s">
        <v>74</v>
      </c>
      <c r="N39" t="s">
        <v>74</v>
      </c>
      <c r="O39" t="s">
        <v>74</v>
      </c>
      <c r="P39" t="s">
        <v>74</v>
      </c>
      <c r="Q39" t="s">
        <v>74</v>
      </c>
      <c r="R39" t="s">
        <v>74</v>
      </c>
      <c r="S39" t="s">
        <v>74</v>
      </c>
      <c r="T39" t="s">
        <v>74</v>
      </c>
      <c r="U39" t="s">
        <v>74</v>
      </c>
      <c r="V39" t="s">
        <v>461</v>
      </c>
      <c r="W39" t="s">
        <v>74</v>
      </c>
      <c r="X39" t="s">
        <v>74</v>
      </c>
      <c r="Y39" t="s">
        <v>74</v>
      </c>
      <c r="Z39" t="s">
        <v>74</v>
      </c>
      <c r="AA39" t="s">
        <v>462</v>
      </c>
      <c r="AB39" t="s">
        <v>463</v>
      </c>
      <c r="AC39" t="s">
        <v>74</v>
      </c>
      <c r="AD39" t="s">
        <v>74</v>
      </c>
      <c r="AE39" t="s">
        <v>74</v>
      </c>
      <c r="AF39" t="s">
        <v>74</v>
      </c>
      <c r="AG39" t="s">
        <v>74</v>
      </c>
      <c r="AH39" t="s">
        <v>74</v>
      </c>
      <c r="AI39" t="s">
        <v>74</v>
      </c>
      <c r="AJ39" t="s">
        <v>74</v>
      </c>
      <c r="AK39" t="s">
        <v>74</v>
      </c>
      <c r="AL39" t="s">
        <v>74</v>
      </c>
      <c r="AM39" t="s">
        <v>74</v>
      </c>
      <c r="AN39" t="s">
        <v>74</v>
      </c>
      <c r="AO39" t="s">
        <v>217</v>
      </c>
      <c r="AP39" t="s">
        <v>218</v>
      </c>
      <c r="AQ39" t="s">
        <v>74</v>
      </c>
      <c r="AR39" t="s">
        <v>74</v>
      </c>
      <c r="AS39" t="s">
        <v>74</v>
      </c>
      <c r="AT39" t="s">
        <v>464</v>
      </c>
      <c r="AU39">
        <v>2023</v>
      </c>
      <c r="AV39">
        <v>91</v>
      </c>
      <c r="AW39">
        <v>5</v>
      </c>
      <c r="AX39" t="s">
        <v>74</v>
      </c>
      <c r="AY39" t="s">
        <v>74</v>
      </c>
      <c r="AZ39" t="s">
        <v>74</v>
      </c>
      <c r="BA39" t="s">
        <v>74</v>
      </c>
      <c r="BB39">
        <v>391</v>
      </c>
      <c r="BC39">
        <v>404</v>
      </c>
      <c r="BD39" t="s">
        <v>74</v>
      </c>
      <c r="BE39" t="s">
        <v>465</v>
      </c>
      <c r="BF39" t="str">
        <f>HYPERLINK("http://dx.doi.org/10.1007/s41064-023-00249-9","http://dx.doi.org/10.1007/s41064-023-00249-9")</f>
        <v>http://dx.doi.org/10.1007/s41064-023-00249-9</v>
      </c>
      <c r="BG39" t="s">
        <v>74</v>
      </c>
      <c r="BH39" t="s">
        <v>466</v>
      </c>
      <c r="BI39" t="s">
        <v>74</v>
      </c>
      <c r="BJ39" t="s">
        <v>74</v>
      </c>
      <c r="BK39" t="s">
        <v>74</v>
      </c>
      <c r="BL39" t="s">
        <v>74</v>
      </c>
      <c r="BM39" t="s">
        <v>74</v>
      </c>
      <c r="BN39" t="s">
        <v>74</v>
      </c>
      <c r="BO39" t="s">
        <v>74</v>
      </c>
      <c r="BP39" t="s">
        <v>74</v>
      </c>
      <c r="BQ39" t="s">
        <v>74</v>
      </c>
      <c r="BR39" t="s">
        <v>74</v>
      </c>
      <c r="BS39" t="s">
        <v>467</v>
      </c>
      <c r="BT39" t="str">
        <f>HYPERLINK("https%3A%2F%2Fwww.webofscience.com%2Fwos%2Fwoscc%2Ffull-record%2FWOS:001032089100001","View Full Record in Web of Science")</f>
        <v>View Full Record in Web of Science</v>
      </c>
    </row>
    <row r="40" spans="1:72" x14ac:dyDescent="0.15">
      <c r="A40" t="s">
        <v>72</v>
      </c>
      <c r="B40" t="s">
        <v>468</v>
      </c>
      <c r="C40" t="s">
        <v>74</v>
      </c>
      <c r="D40" t="s">
        <v>74</v>
      </c>
      <c r="E40" t="s">
        <v>74</v>
      </c>
      <c r="F40" t="s">
        <v>469</v>
      </c>
      <c r="G40" t="s">
        <v>74</v>
      </c>
      <c r="H40" t="s">
        <v>74</v>
      </c>
      <c r="I40" t="s">
        <v>470</v>
      </c>
      <c r="J40" t="s">
        <v>122</v>
      </c>
      <c r="K40" t="s">
        <v>74</v>
      </c>
      <c r="L40" t="s">
        <v>74</v>
      </c>
      <c r="M40" t="s">
        <v>74</v>
      </c>
      <c r="N40" t="s">
        <v>74</v>
      </c>
      <c r="O40" t="s">
        <v>74</v>
      </c>
      <c r="P40" t="s">
        <v>74</v>
      </c>
      <c r="Q40" t="s">
        <v>74</v>
      </c>
      <c r="R40" t="s">
        <v>74</v>
      </c>
      <c r="S40" t="s">
        <v>74</v>
      </c>
      <c r="T40" t="s">
        <v>74</v>
      </c>
      <c r="U40" t="s">
        <v>74</v>
      </c>
      <c r="V40" t="s">
        <v>471</v>
      </c>
      <c r="W40" t="s">
        <v>74</v>
      </c>
      <c r="X40" t="s">
        <v>74</v>
      </c>
      <c r="Y40" t="s">
        <v>74</v>
      </c>
      <c r="Z40" t="s">
        <v>74</v>
      </c>
      <c r="AA40" t="s">
        <v>472</v>
      </c>
      <c r="AB40" t="s">
        <v>473</v>
      </c>
      <c r="AC40" t="s">
        <v>74</v>
      </c>
      <c r="AD40" t="s">
        <v>74</v>
      </c>
      <c r="AE40" t="s">
        <v>74</v>
      </c>
      <c r="AF40" t="s">
        <v>74</v>
      </c>
      <c r="AG40" t="s">
        <v>74</v>
      </c>
      <c r="AH40" t="s">
        <v>74</v>
      </c>
      <c r="AI40" t="s">
        <v>74</v>
      </c>
      <c r="AJ40" t="s">
        <v>74</v>
      </c>
      <c r="AK40" t="s">
        <v>74</v>
      </c>
      <c r="AL40" t="s">
        <v>74</v>
      </c>
      <c r="AM40" t="s">
        <v>74</v>
      </c>
      <c r="AN40" t="s">
        <v>74</v>
      </c>
      <c r="AO40" t="s">
        <v>126</v>
      </c>
      <c r="AP40" t="s">
        <v>127</v>
      </c>
      <c r="AQ40" t="s">
        <v>74</v>
      </c>
      <c r="AR40" t="s">
        <v>74</v>
      </c>
      <c r="AS40" t="s">
        <v>74</v>
      </c>
      <c r="AT40" t="s">
        <v>474</v>
      </c>
      <c r="AU40">
        <v>2023</v>
      </c>
      <c r="AV40">
        <v>295</v>
      </c>
      <c r="AW40" t="s">
        <v>74</v>
      </c>
      <c r="AX40" t="s">
        <v>74</v>
      </c>
      <c r="AY40" t="s">
        <v>74</v>
      </c>
      <c r="AZ40" t="s">
        <v>74</v>
      </c>
      <c r="BA40" t="s">
        <v>74</v>
      </c>
      <c r="BB40" t="s">
        <v>74</v>
      </c>
      <c r="BC40" t="s">
        <v>74</v>
      </c>
      <c r="BD40">
        <v>113712</v>
      </c>
      <c r="BE40" t="s">
        <v>475</v>
      </c>
      <c r="BF40" t="str">
        <f>HYPERLINK("http://dx.doi.org/10.1016/j.rse.2023.113712","http://dx.doi.org/10.1016/j.rse.2023.113712")</f>
        <v>http://dx.doi.org/10.1016/j.rse.2023.113712</v>
      </c>
      <c r="BG40" t="s">
        <v>74</v>
      </c>
      <c r="BH40" t="s">
        <v>466</v>
      </c>
      <c r="BI40" t="s">
        <v>74</v>
      </c>
      <c r="BJ40" t="s">
        <v>74</v>
      </c>
      <c r="BK40" t="s">
        <v>74</v>
      </c>
      <c r="BL40" t="s">
        <v>74</v>
      </c>
      <c r="BM40" t="s">
        <v>74</v>
      </c>
      <c r="BN40" t="s">
        <v>74</v>
      </c>
      <c r="BO40" t="s">
        <v>74</v>
      </c>
      <c r="BP40" t="s">
        <v>74</v>
      </c>
      <c r="BQ40" t="s">
        <v>74</v>
      </c>
      <c r="BR40" t="s">
        <v>74</v>
      </c>
      <c r="BS40" t="s">
        <v>476</v>
      </c>
      <c r="BT40" t="str">
        <f>HYPERLINK("https%3A%2F%2Fwww.webofscience.com%2Fwos%2Fwoscc%2Ffull-record%2FWOS:001044934100001","View Full Record in Web of Science")</f>
        <v>View Full Record in Web of Science</v>
      </c>
    </row>
    <row r="41" spans="1:72" x14ac:dyDescent="0.15">
      <c r="A41" t="s">
        <v>72</v>
      </c>
      <c r="B41" t="s">
        <v>477</v>
      </c>
      <c r="C41" t="s">
        <v>74</v>
      </c>
      <c r="D41" t="s">
        <v>74</v>
      </c>
      <c r="E41" t="s">
        <v>74</v>
      </c>
      <c r="F41" t="s">
        <v>478</v>
      </c>
      <c r="G41" t="s">
        <v>74</v>
      </c>
      <c r="H41" t="s">
        <v>74</v>
      </c>
      <c r="I41" t="s">
        <v>479</v>
      </c>
      <c r="J41" t="s">
        <v>480</v>
      </c>
      <c r="K41" t="s">
        <v>74</v>
      </c>
      <c r="L41" t="s">
        <v>74</v>
      </c>
      <c r="M41" t="s">
        <v>74</v>
      </c>
      <c r="N41" t="s">
        <v>74</v>
      </c>
      <c r="O41" t="s">
        <v>74</v>
      </c>
      <c r="P41" t="s">
        <v>74</v>
      </c>
      <c r="Q41" t="s">
        <v>74</v>
      </c>
      <c r="R41" t="s">
        <v>74</v>
      </c>
      <c r="S41" t="s">
        <v>74</v>
      </c>
      <c r="T41" t="s">
        <v>74</v>
      </c>
      <c r="U41" t="s">
        <v>74</v>
      </c>
      <c r="V41" t="s">
        <v>481</v>
      </c>
      <c r="W41" t="s">
        <v>74</v>
      </c>
      <c r="X41" t="s">
        <v>74</v>
      </c>
      <c r="Y41" t="s">
        <v>74</v>
      </c>
      <c r="Z41" t="s">
        <v>74</v>
      </c>
      <c r="AA41" t="s">
        <v>482</v>
      </c>
      <c r="AB41" t="s">
        <v>483</v>
      </c>
      <c r="AC41" t="s">
        <v>74</v>
      </c>
      <c r="AD41" t="s">
        <v>74</v>
      </c>
      <c r="AE41" t="s">
        <v>74</v>
      </c>
      <c r="AF41" t="s">
        <v>74</v>
      </c>
      <c r="AG41" t="s">
        <v>74</v>
      </c>
      <c r="AH41" t="s">
        <v>74</v>
      </c>
      <c r="AI41" t="s">
        <v>74</v>
      </c>
      <c r="AJ41" t="s">
        <v>74</v>
      </c>
      <c r="AK41" t="s">
        <v>74</v>
      </c>
      <c r="AL41" t="s">
        <v>74</v>
      </c>
      <c r="AM41" t="s">
        <v>74</v>
      </c>
      <c r="AN41" t="s">
        <v>74</v>
      </c>
      <c r="AO41" t="s">
        <v>484</v>
      </c>
      <c r="AP41" t="s">
        <v>485</v>
      </c>
      <c r="AQ41" t="s">
        <v>74</v>
      </c>
      <c r="AR41" t="s">
        <v>74</v>
      </c>
      <c r="AS41" t="s">
        <v>74</v>
      </c>
      <c r="AT41" t="s">
        <v>486</v>
      </c>
      <c r="AU41">
        <v>2023</v>
      </c>
      <c r="AV41">
        <v>27</v>
      </c>
      <c r="AW41">
        <v>1</v>
      </c>
      <c r="AX41" t="s">
        <v>74</v>
      </c>
      <c r="AY41" t="s">
        <v>74</v>
      </c>
      <c r="AZ41" t="s">
        <v>74</v>
      </c>
      <c r="BA41" t="s">
        <v>74</v>
      </c>
      <c r="BB41">
        <v>21</v>
      </c>
      <c r="BC41">
        <v>38</v>
      </c>
      <c r="BD41" t="s">
        <v>74</v>
      </c>
      <c r="BE41" t="s">
        <v>487</v>
      </c>
      <c r="BF41" t="str">
        <f>HYPERLINK("http://dx.doi.org/10.5194/hess-27-21-2023","http://dx.doi.org/10.5194/hess-27-21-2023")</f>
        <v>http://dx.doi.org/10.5194/hess-27-21-2023</v>
      </c>
      <c r="BG41" t="s">
        <v>74</v>
      </c>
      <c r="BH41" t="s">
        <v>74</v>
      </c>
      <c r="BI41" t="s">
        <v>74</v>
      </c>
      <c r="BJ41" t="s">
        <v>74</v>
      </c>
      <c r="BK41" t="s">
        <v>74</v>
      </c>
      <c r="BL41" t="s">
        <v>74</v>
      </c>
      <c r="BM41" t="s">
        <v>74</v>
      </c>
      <c r="BN41" t="s">
        <v>74</v>
      </c>
      <c r="BO41" t="s">
        <v>74</v>
      </c>
      <c r="BP41" t="s">
        <v>74</v>
      </c>
      <c r="BQ41" t="s">
        <v>74</v>
      </c>
      <c r="BR41" t="s">
        <v>74</v>
      </c>
      <c r="BS41" t="s">
        <v>488</v>
      </c>
      <c r="BT41" t="str">
        <f>HYPERLINK("https%3A%2F%2Fwww.webofscience.com%2Fwos%2Fwoscc%2Ffull-record%2FWOS:000906405200001","View Full Record in Web of Science")</f>
        <v>View Full Record in Web of Science</v>
      </c>
    </row>
    <row r="42" spans="1:72" x14ac:dyDescent="0.15">
      <c r="A42" t="s">
        <v>252</v>
      </c>
      <c r="B42" t="s">
        <v>489</v>
      </c>
      <c r="C42" t="s">
        <v>74</v>
      </c>
      <c r="D42" t="s">
        <v>74</v>
      </c>
      <c r="E42" t="s">
        <v>254</v>
      </c>
      <c r="F42" t="s">
        <v>490</v>
      </c>
      <c r="G42" t="s">
        <v>74</v>
      </c>
      <c r="H42" t="s">
        <v>74</v>
      </c>
      <c r="I42" t="s">
        <v>491</v>
      </c>
      <c r="J42" t="s">
        <v>492</v>
      </c>
      <c r="K42" t="s">
        <v>258</v>
      </c>
      <c r="L42" t="s">
        <v>74</v>
      </c>
      <c r="M42" t="s">
        <v>74</v>
      </c>
      <c r="N42" t="s">
        <v>74</v>
      </c>
      <c r="O42" t="s">
        <v>388</v>
      </c>
      <c r="P42" t="s">
        <v>493</v>
      </c>
      <c r="Q42" t="s">
        <v>494</v>
      </c>
      <c r="R42" t="s">
        <v>495</v>
      </c>
      <c r="S42" t="s">
        <v>74</v>
      </c>
      <c r="T42" t="s">
        <v>74</v>
      </c>
      <c r="U42" t="s">
        <v>74</v>
      </c>
      <c r="V42" t="s">
        <v>496</v>
      </c>
      <c r="W42" t="s">
        <v>74</v>
      </c>
      <c r="X42" t="s">
        <v>74</v>
      </c>
      <c r="Y42" t="s">
        <v>74</v>
      </c>
      <c r="Z42" t="s">
        <v>74</v>
      </c>
      <c r="AA42" t="s">
        <v>497</v>
      </c>
      <c r="AB42" t="s">
        <v>498</v>
      </c>
      <c r="AC42" t="s">
        <v>74</v>
      </c>
      <c r="AD42" t="s">
        <v>74</v>
      </c>
      <c r="AE42" t="s">
        <v>74</v>
      </c>
      <c r="AF42" t="s">
        <v>74</v>
      </c>
      <c r="AG42" t="s">
        <v>74</v>
      </c>
      <c r="AH42" t="s">
        <v>74</v>
      </c>
      <c r="AI42" t="s">
        <v>74</v>
      </c>
      <c r="AJ42" t="s">
        <v>74</v>
      </c>
      <c r="AK42" t="s">
        <v>74</v>
      </c>
      <c r="AL42" t="s">
        <v>74</v>
      </c>
      <c r="AM42" t="s">
        <v>74</v>
      </c>
      <c r="AN42" t="s">
        <v>74</v>
      </c>
      <c r="AO42" t="s">
        <v>265</v>
      </c>
      <c r="AP42" t="s">
        <v>74</v>
      </c>
      <c r="AQ42" t="s">
        <v>499</v>
      </c>
      <c r="AR42" t="s">
        <v>74</v>
      </c>
      <c r="AS42" t="s">
        <v>74</v>
      </c>
      <c r="AT42" t="s">
        <v>74</v>
      </c>
      <c r="AU42">
        <v>2023</v>
      </c>
      <c r="AV42" t="s">
        <v>74</v>
      </c>
      <c r="AW42" t="s">
        <v>74</v>
      </c>
      <c r="AX42" t="s">
        <v>74</v>
      </c>
      <c r="AY42" t="s">
        <v>74</v>
      </c>
      <c r="AZ42" t="s">
        <v>74</v>
      </c>
      <c r="BA42" t="s">
        <v>74</v>
      </c>
      <c r="BB42">
        <v>5351</v>
      </c>
      <c r="BC42">
        <v>5354</v>
      </c>
      <c r="BD42" t="s">
        <v>74</v>
      </c>
      <c r="BE42" t="s">
        <v>500</v>
      </c>
      <c r="BF42" t="str">
        <f>HYPERLINK("http://dx.doi.org/10.1109/IGARSS52108.2023.10281833","http://dx.doi.org/10.1109/IGARSS52108.2023.10281833")</f>
        <v>http://dx.doi.org/10.1109/IGARSS52108.2023.10281833</v>
      </c>
      <c r="BG42" t="s">
        <v>74</v>
      </c>
      <c r="BH42" t="s">
        <v>74</v>
      </c>
      <c r="BI42" t="s">
        <v>74</v>
      </c>
      <c r="BJ42" t="s">
        <v>74</v>
      </c>
      <c r="BK42" t="s">
        <v>74</v>
      </c>
      <c r="BL42" t="s">
        <v>74</v>
      </c>
      <c r="BM42" t="s">
        <v>74</v>
      </c>
      <c r="BN42" t="s">
        <v>74</v>
      </c>
      <c r="BO42" t="s">
        <v>74</v>
      </c>
      <c r="BP42" t="s">
        <v>74</v>
      </c>
      <c r="BQ42" t="s">
        <v>74</v>
      </c>
      <c r="BR42" t="s">
        <v>74</v>
      </c>
      <c r="BS42" t="s">
        <v>501</v>
      </c>
      <c r="BT42" t="str">
        <f>HYPERLINK("https%3A%2F%2Fwww.webofscience.com%2Fwos%2Fwoscc%2Ffull-record%2FWOS:001098971605133","View Full Record in Web of Science")</f>
        <v>View Full Record in Web of Science</v>
      </c>
    </row>
    <row r="43" spans="1:72" x14ac:dyDescent="0.15">
      <c r="A43" t="s">
        <v>72</v>
      </c>
      <c r="B43" t="s">
        <v>502</v>
      </c>
      <c r="C43" t="s">
        <v>74</v>
      </c>
      <c r="D43" t="s">
        <v>74</v>
      </c>
      <c r="E43" t="s">
        <v>74</v>
      </c>
      <c r="F43" t="s">
        <v>503</v>
      </c>
      <c r="G43" t="s">
        <v>74</v>
      </c>
      <c r="H43" t="s">
        <v>74</v>
      </c>
      <c r="I43" t="s">
        <v>504</v>
      </c>
      <c r="J43" t="s">
        <v>244</v>
      </c>
      <c r="K43" t="s">
        <v>74</v>
      </c>
      <c r="L43" t="s">
        <v>74</v>
      </c>
      <c r="M43" t="s">
        <v>74</v>
      </c>
      <c r="N43" t="s">
        <v>74</v>
      </c>
      <c r="O43" t="s">
        <v>74</v>
      </c>
      <c r="P43" t="s">
        <v>74</v>
      </c>
      <c r="Q43" t="s">
        <v>74</v>
      </c>
      <c r="R43" t="s">
        <v>74</v>
      </c>
      <c r="S43" t="s">
        <v>74</v>
      </c>
      <c r="T43" t="s">
        <v>74</v>
      </c>
      <c r="U43" t="s">
        <v>74</v>
      </c>
      <c r="V43" t="s">
        <v>505</v>
      </c>
      <c r="W43" t="s">
        <v>74</v>
      </c>
      <c r="X43" t="s">
        <v>74</v>
      </c>
      <c r="Y43" t="s">
        <v>74</v>
      </c>
      <c r="Z43" t="s">
        <v>74</v>
      </c>
      <c r="AA43" t="s">
        <v>506</v>
      </c>
      <c r="AB43" t="s">
        <v>507</v>
      </c>
      <c r="AC43" t="s">
        <v>74</v>
      </c>
      <c r="AD43" t="s">
        <v>74</v>
      </c>
      <c r="AE43" t="s">
        <v>74</v>
      </c>
      <c r="AF43" t="s">
        <v>74</v>
      </c>
      <c r="AG43" t="s">
        <v>74</v>
      </c>
      <c r="AH43" t="s">
        <v>74</v>
      </c>
      <c r="AI43" t="s">
        <v>74</v>
      </c>
      <c r="AJ43" t="s">
        <v>74</v>
      </c>
      <c r="AK43" t="s">
        <v>74</v>
      </c>
      <c r="AL43" t="s">
        <v>74</v>
      </c>
      <c r="AM43" t="s">
        <v>74</v>
      </c>
      <c r="AN43" t="s">
        <v>74</v>
      </c>
      <c r="AO43" t="s">
        <v>248</v>
      </c>
      <c r="AP43" t="s">
        <v>249</v>
      </c>
      <c r="AQ43" t="s">
        <v>74</v>
      </c>
      <c r="AR43" t="s">
        <v>74</v>
      </c>
      <c r="AS43" t="s">
        <v>74</v>
      </c>
      <c r="AT43" t="s">
        <v>74</v>
      </c>
      <c r="AU43">
        <v>2023</v>
      </c>
      <c r="AV43">
        <v>16</v>
      </c>
      <c r="AW43" t="s">
        <v>74</v>
      </c>
      <c r="AX43" t="s">
        <v>74</v>
      </c>
      <c r="AY43" t="s">
        <v>74</v>
      </c>
      <c r="AZ43" t="s">
        <v>74</v>
      </c>
      <c r="BA43" t="s">
        <v>74</v>
      </c>
      <c r="BB43">
        <v>2868</v>
      </c>
      <c r="BC43">
        <v>2888</v>
      </c>
      <c r="BD43" t="s">
        <v>74</v>
      </c>
      <c r="BE43" t="s">
        <v>508</v>
      </c>
      <c r="BF43" t="str">
        <f>HYPERLINK("http://dx.doi.org/10.1109/JSTARS.2023.3253804","http://dx.doi.org/10.1109/JSTARS.2023.3253804")</f>
        <v>http://dx.doi.org/10.1109/JSTARS.2023.3253804</v>
      </c>
      <c r="BG43" t="s">
        <v>74</v>
      </c>
      <c r="BH43" t="s">
        <v>74</v>
      </c>
      <c r="BI43" t="s">
        <v>74</v>
      </c>
      <c r="BJ43" t="s">
        <v>74</v>
      </c>
      <c r="BK43" t="s">
        <v>74</v>
      </c>
      <c r="BL43" t="s">
        <v>74</v>
      </c>
      <c r="BM43" t="s">
        <v>74</v>
      </c>
      <c r="BN43" t="s">
        <v>74</v>
      </c>
      <c r="BO43" t="s">
        <v>74</v>
      </c>
      <c r="BP43" t="s">
        <v>74</v>
      </c>
      <c r="BQ43" t="s">
        <v>74</v>
      </c>
      <c r="BR43" t="s">
        <v>74</v>
      </c>
      <c r="BS43" t="s">
        <v>509</v>
      </c>
      <c r="BT43" t="str">
        <f>HYPERLINK("https%3A%2F%2Fwww.webofscience.com%2Fwos%2Fwoscc%2Ffull-record%2FWOS:000989479900003","View Full Record in Web of Science")</f>
        <v>View Full Record in Web of Science</v>
      </c>
    </row>
    <row r="44" spans="1:72" x14ac:dyDescent="0.15">
      <c r="A44" t="s">
        <v>252</v>
      </c>
      <c r="B44" t="s">
        <v>510</v>
      </c>
      <c r="C44" t="s">
        <v>74</v>
      </c>
      <c r="D44" t="s">
        <v>74</v>
      </c>
      <c r="E44" t="s">
        <v>254</v>
      </c>
      <c r="F44" t="s">
        <v>511</v>
      </c>
      <c r="G44" t="s">
        <v>74</v>
      </c>
      <c r="H44" t="s">
        <v>74</v>
      </c>
      <c r="I44" t="s">
        <v>512</v>
      </c>
      <c r="J44" t="s">
        <v>492</v>
      </c>
      <c r="K44" t="s">
        <v>258</v>
      </c>
      <c r="L44" t="s">
        <v>74</v>
      </c>
      <c r="M44" t="s">
        <v>74</v>
      </c>
      <c r="N44" t="s">
        <v>74</v>
      </c>
      <c r="O44" t="s">
        <v>388</v>
      </c>
      <c r="P44" t="s">
        <v>493</v>
      </c>
      <c r="Q44" t="s">
        <v>494</v>
      </c>
      <c r="R44" t="s">
        <v>495</v>
      </c>
      <c r="S44" t="s">
        <v>74</v>
      </c>
      <c r="T44" t="s">
        <v>74</v>
      </c>
      <c r="U44" t="s">
        <v>74</v>
      </c>
      <c r="V44" t="s">
        <v>513</v>
      </c>
      <c r="W44" t="s">
        <v>74</v>
      </c>
      <c r="X44" t="s">
        <v>74</v>
      </c>
      <c r="Y44" t="s">
        <v>74</v>
      </c>
      <c r="Z44" t="s">
        <v>74</v>
      </c>
      <c r="AA44" t="s">
        <v>281</v>
      </c>
      <c r="AB44" t="s">
        <v>74</v>
      </c>
      <c r="AC44" t="s">
        <v>74</v>
      </c>
      <c r="AD44" t="s">
        <v>74</v>
      </c>
      <c r="AE44" t="s">
        <v>74</v>
      </c>
      <c r="AF44" t="s">
        <v>74</v>
      </c>
      <c r="AG44" t="s">
        <v>74</v>
      </c>
      <c r="AH44" t="s">
        <v>74</v>
      </c>
      <c r="AI44" t="s">
        <v>74</v>
      </c>
      <c r="AJ44" t="s">
        <v>74</v>
      </c>
      <c r="AK44" t="s">
        <v>74</v>
      </c>
      <c r="AL44" t="s">
        <v>74</v>
      </c>
      <c r="AM44" t="s">
        <v>74</v>
      </c>
      <c r="AN44" t="s">
        <v>74</v>
      </c>
      <c r="AO44" t="s">
        <v>265</v>
      </c>
      <c r="AP44" t="s">
        <v>74</v>
      </c>
      <c r="AQ44" t="s">
        <v>499</v>
      </c>
      <c r="AR44" t="s">
        <v>74</v>
      </c>
      <c r="AS44" t="s">
        <v>74</v>
      </c>
      <c r="AT44" t="s">
        <v>74</v>
      </c>
      <c r="AU44">
        <v>2023</v>
      </c>
      <c r="AV44" t="s">
        <v>74</v>
      </c>
      <c r="AW44" t="s">
        <v>74</v>
      </c>
      <c r="AX44" t="s">
        <v>74</v>
      </c>
      <c r="AY44" t="s">
        <v>74</v>
      </c>
      <c r="AZ44" t="s">
        <v>74</v>
      </c>
      <c r="BA44" t="s">
        <v>74</v>
      </c>
      <c r="BB44">
        <v>98</v>
      </c>
      <c r="BC44">
        <v>101</v>
      </c>
      <c r="BD44" t="s">
        <v>74</v>
      </c>
      <c r="BE44" t="s">
        <v>514</v>
      </c>
      <c r="BF44" t="str">
        <f>HYPERLINK("http://dx.doi.org/10.1109/IGARSS52108.2023.10281481","http://dx.doi.org/10.1109/IGARSS52108.2023.10281481")</f>
        <v>http://dx.doi.org/10.1109/IGARSS52108.2023.10281481</v>
      </c>
      <c r="BG44" t="s">
        <v>74</v>
      </c>
      <c r="BH44" t="s">
        <v>74</v>
      </c>
      <c r="BI44" t="s">
        <v>74</v>
      </c>
      <c r="BJ44" t="s">
        <v>74</v>
      </c>
      <c r="BK44" t="s">
        <v>74</v>
      </c>
      <c r="BL44" t="s">
        <v>74</v>
      </c>
      <c r="BM44" t="s">
        <v>74</v>
      </c>
      <c r="BN44" t="s">
        <v>74</v>
      </c>
      <c r="BO44" t="s">
        <v>74</v>
      </c>
      <c r="BP44" t="s">
        <v>74</v>
      </c>
      <c r="BQ44" t="s">
        <v>74</v>
      </c>
      <c r="BR44" t="s">
        <v>74</v>
      </c>
      <c r="BS44" t="s">
        <v>515</v>
      </c>
      <c r="BT44" t="str">
        <f>HYPERLINK("https%3A%2F%2Fwww.webofscience.com%2Fwos%2Fwoscc%2Ffull-record%2FWOS:001098971600026","View Full Record in Web of Science")</f>
        <v>View Full Record in Web of Science</v>
      </c>
    </row>
    <row r="45" spans="1:72" x14ac:dyDescent="0.15">
      <c r="A45" t="s">
        <v>72</v>
      </c>
      <c r="B45" t="s">
        <v>516</v>
      </c>
      <c r="C45" t="s">
        <v>74</v>
      </c>
      <c r="D45" t="s">
        <v>74</v>
      </c>
      <c r="E45" t="s">
        <v>74</v>
      </c>
      <c r="F45" t="s">
        <v>517</v>
      </c>
      <c r="G45" t="s">
        <v>74</v>
      </c>
      <c r="H45" t="s">
        <v>74</v>
      </c>
      <c r="I45" t="s">
        <v>518</v>
      </c>
      <c r="J45" t="s">
        <v>244</v>
      </c>
      <c r="K45" t="s">
        <v>74</v>
      </c>
      <c r="L45" t="s">
        <v>74</v>
      </c>
      <c r="M45" t="s">
        <v>74</v>
      </c>
      <c r="N45" t="s">
        <v>74</v>
      </c>
      <c r="O45" t="s">
        <v>74</v>
      </c>
      <c r="P45" t="s">
        <v>74</v>
      </c>
      <c r="Q45" t="s">
        <v>74</v>
      </c>
      <c r="R45" t="s">
        <v>74</v>
      </c>
      <c r="S45" t="s">
        <v>74</v>
      </c>
      <c r="T45" t="s">
        <v>74</v>
      </c>
      <c r="U45" t="s">
        <v>74</v>
      </c>
      <c r="V45" t="s">
        <v>519</v>
      </c>
      <c r="W45" t="s">
        <v>74</v>
      </c>
      <c r="X45" t="s">
        <v>74</v>
      </c>
      <c r="Y45" t="s">
        <v>74</v>
      </c>
      <c r="Z45" t="s">
        <v>74</v>
      </c>
      <c r="AA45" t="s">
        <v>520</v>
      </c>
      <c r="AB45" t="s">
        <v>521</v>
      </c>
      <c r="AC45" t="s">
        <v>74</v>
      </c>
      <c r="AD45" t="s">
        <v>74</v>
      </c>
      <c r="AE45" t="s">
        <v>74</v>
      </c>
      <c r="AF45" t="s">
        <v>74</v>
      </c>
      <c r="AG45" t="s">
        <v>74</v>
      </c>
      <c r="AH45" t="s">
        <v>74</v>
      </c>
      <c r="AI45" t="s">
        <v>74</v>
      </c>
      <c r="AJ45" t="s">
        <v>74</v>
      </c>
      <c r="AK45" t="s">
        <v>74</v>
      </c>
      <c r="AL45" t="s">
        <v>74</v>
      </c>
      <c r="AM45" t="s">
        <v>74</v>
      </c>
      <c r="AN45" t="s">
        <v>74</v>
      </c>
      <c r="AO45" t="s">
        <v>248</v>
      </c>
      <c r="AP45" t="s">
        <v>249</v>
      </c>
      <c r="AQ45" t="s">
        <v>74</v>
      </c>
      <c r="AR45" t="s">
        <v>74</v>
      </c>
      <c r="AS45" t="s">
        <v>74</v>
      </c>
      <c r="AT45" t="s">
        <v>74</v>
      </c>
      <c r="AU45">
        <v>2023</v>
      </c>
      <c r="AV45">
        <v>16</v>
      </c>
      <c r="AW45" t="s">
        <v>74</v>
      </c>
      <c r="AX45" t="s">
        <v>74</v>
      </c>
      <c r="AY45" t="s">
        <v>74</v>
      </c>
      <c r="AZ45" t="s">
        <v>74</v>
      </c>
      <c r="BA45" t="s">
        <v>74</v>
      </c>
      <c r="BB45">
        <v>6007</v>
      </c>
      <c r="BC45">
        <v>6025</v>
      </c>
      <c r="BD45" t="s">
        <v>74</v>
      </c>
      <c r="BE45" t="s">
        <v>522</v>
      </c>
      <c r="BF45" t="str">
        <f>HYPERLINK("http://dx.doi.org/10.1109/JSTARS.2023.3287410","http://dx.doi.org/10.1109/JSTARS.2023.3287410")</f>
        <v>http://dx.doi.org/10.1109/JSTARS.2023.3287410</v>
      </c>
      <c r="BG45" t="s">
        <v>74</v>
      </c>
      <c r="BH45" t="s">
        <v>74</v>
      </c>
      <c r="BI45" t="s">
        <v>74</v>
      </c>
      <c r="BJ45" t="s">
        <v>74</v>
      </c>
      <c r="BK45" t="s">
        <v>74</v>
      </c>
      <c r="BL45" t="s">
        <v>74</v>
      </c>
      <c r="BM45" t="s">
        <v>74</v>
      </c>
      <c r="BN45" t="s">
        <v>74</v>
      </c>
      <c r="BO45" t="s">
        <v>74</v>
      </c>
      <c r="BP45" t="s">
        <v>74</v>
      </c>
      <c r="BQ45" t="s">
        <v>74</v>
      </c>
      <c r="BR45" t="s">
        <v>74</v>
      </c>
      <c r="BS45" t="s">
        <v>523</v>
      </c>
      <c r="BT45" t="str">
        <f>HYPERLINK("https%3A%2F%2Fwww.webofscience.com%2Fwos%2Fwoscc%2Ffull-record%2FWOS:001029274100023","View Full Record in Web of Science")</f>
        <v>View Full Record in Web of Science</v>
      </c>
    </row>
    <row r="46" spans="1:72" x14ac:dyDescent="0.15">
      <c r="A46" t="s">
        <v>72</v>
      </c>
      <c r="B46" t="s">
        <v>524</v>
      </c>
      <c r="C46" t="s">
        <v>74</v>
      </c>
      <c r="D46" t="s">
        <v>74</v>
      </c>
      <c r="E46" t="s">
        <v>74</v>
      </c>
      <c r="F46" t="s">
        <v>525</v>
      </c>
      <c r="G46" t="s">
        <v>74</v>
      </c>
      <c r="H46" t="s">
        <v>74</v>
      </c>
      <c r="I46" t="s">
        <v>526</v>
      </c>
      <c r="J46" t="s">
        <v>527</v>
      </c>
      <c r="K46" t="s">
        <v>74</v>
      </c>
      <c r="L46" t="s">
        <v>74</v>
      </c>
      <c r="M46" t="s">
        <v>74</v>
      </c>
      <c r="N46" t="s">
        <v>74</v>
      </c>
      <c r="O46" t="s">
        <v>74</v>
      </c>
      <c r="P46" t="s">
        <v>74</v>
      </c>
      <c r="Q46" t="s">
        <v>74</v>
      </c>
      <c r="R46" t="s">
        <v>74</v>
      </c>
      <c r="S46" t="s">
        <v>74</v>
      </c>
      <c r="T46" t="s">
        <v>74</v>
      </c>
      <c r="U46" t="s">
        <v>74</v>
      </c>
      <c r="V46" t="s">
        <v>528</v>
      </c>
      <c r="W46" t="s">
        <v>74</v>
      </c>
      <c r="X46" t="s">
        <v>74</v>
      </c>
      <c r="Y46" t="s">
        <v>74</v>
      </c>
      <c r="Z46" t="s">
        <v>74</v>
      </c>
      <c r="AA46" t="s">
        <v>529</v>
      </c>
      <c r="AB46" t="s">
        <v>530</v>
      </c>
      <c r="AC46" t="s">
        <v>74</v>
      </c>
      <c r="AD46" t="s">
        <v>74</v>
      </c>
      <c r="AE46" t="s">
        <v>74</v>
      </c>
      <c r="AF46" t="s">
        <v>74</v>
      </c>
      <c r="AG46" t="s">
        <v>74</v>
      </c>
      <c r="AH46" t="s">
        <v>74</v>
      </c>
      <c r="AI46" t="s">
        <v>74</v>
      </c>
      <c r="AJ46" t="s">
        <v>74</v>
      </c>
      <c r="AK46" t="s">
        <v>74</v>
      </c>
      <c r="AL46" t="s">
        <v>74</v>
      </c>
      <c r="AM46" t="s">
        <v>74</v>
      </c>
      <c r="AN46" t="s">
        <v>74</v>
      </c>
      <c r="AO46" t="s">
        <v>531</v>
      </c>
      <c r="AP46" t="s">
        <v>532</v>
      </c>
      <c r="AQ46" t="s">
        <v>74</v>
      </c>
      <c r="AR46" t="s">
        <v>74</v>
      </c>
      <c r="AS46" t="s">
        <v>74</v>
      </c>
      <c r="AT46" t="s">
        <v>533</v>
      </c>
      <c r="AU46">
        <v>2022</v>
      </c>
      <c r="AV46">
        <v>49</v>
      </c>
      <c r="AW46">
        <v>17</v>
      </c>
      <c r="AX46" t="s">
        <v>74</v>
      </c>
      <c r="AY46" t="s">
        <v>74</v>
      </c>
      <c r="AZ46" t="s">
        <v>74</v>
      </c>
      <c r="BA46" t="s">
        <v>74</v>
      </c>
      <c r="BB46" t="s">
        <v>74</v>
      </c>
      <c r="BC46" t="s">
        <v>74</v>
      </c>
      <c r="BD46" t="s">
        <v>534</v>
      </c>
      <c r="BE46" t="s">
        <v>535</v>
      </c>
      <c r="BF46" t="str">
        <f>HYPERLINK("http://dx.doi.org/10.1029/2022GL099119","http://dx.doi.org/10.1029/2022GL099119")</f>
        <v>http://dx.doi.org/10.1029/2022GL099119</v>
      </c>
      <c r="BG46" t="s">
        <v>74</v>
      </c>
      <c r="BH46" t="s">
        <v>74</v>
      </c>
      <c r="BI46" t="s">
        <v>74</v>
      </c>
      <c r="BJ46" t="s">
        <v>74</v>
      </c>
      <c r="BK46" t="s">
        <v>74</v>
      </c>
      <c r="BL46" t="s">
        <v>74</v>
      </c>
      <c r="BM46" t="s">
        <v>74</v>
      </c>
      <c r="BN46" t="s">
        <v>74</v>
      </c>
      <c r="BO46" t="s">
        <v>74</v>
      </c>
      <c r="BP46" t="s">
        <v>74</v>
      </c>
      <c r="BQ46" t="s">
        <v>74</v>
      </c>
      <c r="BR46" t="s">
        <v>74</v>
      </c>
      <c r="BS46" t="s">
        <v>536</v>
      </c>
      <c r="BT46" t="str">
        <f>HYPERLINK("https%3A%2F%2Fwww.webofscience.com%2Fwos%2Fwoscc%2Ffull-record%2FWOS:000850889000001","View Full Record in Web of Science")</f>
        <v>View Full Record in Web of Science</v>
      </c>
    </row>
    <row r="47" spans="1:72" x14ac:dyDescent="0.15">
      <c r="A47" t="s">
        <v>72</v>
      </c>
      <c r="B47" t="s">
        <v>537</v>
      </c>
      <c r="C47" t="s">
        <v>74</v>
      </c>
      <c r="D47" t="s">
        <v>74</v>
      </c>
      <c r="E47" t="s">
        <v>74</v>
      </c>
      <c r="F47" t="s">
        <v>538</v>
      </c>
      <c r="G47" t="s">
        <v>74</v>
      </c>
      <c r="H47" t="s">
        <v>74</v>
      </c>
      <c r="I47" t="s">
        <v>539</v>
      </c>
      <c r="J47" t="s">
        <v>540</v>
      </c>
      <c r="K47" t="s">
        <v>74</v>
      </c>
      <c r="L47" t="s">
        <v>74</v>
      </c>
      <c r="M47" t="s">
        <v>74</v>
      </c>
      <c r="N47" t="s">
        <v>74</v>
      </c>
      <c r="O47" t="s">
        <v>74</v>
      </c>
      <c r="P47" t="s">
        <v>74</v>
      </c>
      <c r="Q47" t="s">
        <v>74</v>
      </c>
      <c r="R47" t="s">
        <v>74</v>
      </c>
      <c r="S47" t="s">
        <v>74</v>
      </c>
      <c r="T47" t="s">
        <v>74</v>
      </c>
      <c r="U47" t="s">
        <v>74</v>
      </c>
      <c r="V47" t="s">
        <v>541</v>
      </c>
      <c r="W47" t="s">
        <v>74</v>
      </c>
      <c r="X47" t="s">
        <v>74</v>
      </c>
      <c r="Y47" t="s">
        <v>74</v>
      </c>
      <c r="Z47" t="s">
        <v>74</v>
      </c>
      <c r="AA47" t="s">
        <v>542</v>
      </c>
      <c r="AB47" t="s">
        <v>543</v>
      </c>
      <c r="AC47" t="s">
        <v>74</v>
      </c>
      <c r="AD47" t="s">
        <v>74</v>
      </c>
      <c r="AE47" t="s">
        <v>74</v>
      </c>
      <c r="AF47" t="s">
        <v>74</v>
      </c>
      <c r="AG47" t="s">
        <v>74</v>
      </c>
      <c r="AH47" t="s">
        <v>74</v>
      </c>
      <c r="AI47" t="s">
        <v>74</v>
      </c>
      <c r="AJ47" t="s">
        <v>74</v>
      </c>
      <c r="AK47" t="s">
        <v>74</v>
      </c>
      <c r="AL47" t="s">
        <v>74</v>
      </c>
      <c r="AM47" t="s">
        <v>74</v>
      </c>
      <c r="AN47" t="s">
        <v>74</v>
      </c>
      <c r="AO47" t="s">
        <v>74</v>
      </c>
      <c r="AP47" t="s">
        <v>544</v>
      </c>
      <c r="AQ47" t="s">
        <v>74</v>
      </c>
      <c r="AR47" t="s">
        <v>74</v>
      </c>
      <c r="AS47" t="s">
        <v>74</v>
      </c>
      <c r="AT47" t="s">
        <v>208</v>
      </c>
      <c r="AU47">
        <v>2022</v>
      </c>
      <c r="AV47">
        <v>11</v>
      </c>
      <c r="AW47">
        <v>7</v>
      </c>
      <c r="AX47" t="s">
        <v>74</v>
      </c>
      <c r="AY47" t="s">
        <v>74</v>
      </c>
      <c r="AZ47" t="s">
        <v>74</v>
      </c>
      <c r="BA47" t="s">
        <v>74</v>
      </c>
      <c r="BB47" t="s">
        <v>74</v>
      </c>
      <c r="BC47" t="s">
        <v>74</v>
      </c>
      <c r="BD47">
        <v>390</v>
      </c>
      <c r="BE47" t="s">
        <v>545</v>
      </c>
      <c r="BF47" t="str">
        <f>HYPERLINK("http://dx.doi.org/10.3390/ijgi11070390","http://dx.doi.org/10.3390/ijgi11070390")</f>
        <v>http://dx.doi.org/10.3390/ijgi11070390</v>
      </c>
      <c r="BG47" t="s">
        <v>74</v>
      </c>
      <c r="BH47" t="s">
        <v>74</v>
      </c>
      <c r="BI47" t="s">
        <v>74</v>
      </c>
      <c r="BJ47" t="s">
        <v>74</v>
      </c>
      <c r="BK47" t="s">
        <v>74</v>
      </c>
      <c r="BL47" t="s">
        <v>74</v>
      </c>
      <c r="BM47" t="s">
        <v>74</v>
      </c>
      <c r="BN47" t="s">
        <v>74</v>
      </c>
      <c r="BO47" t="s">
        <v>74</v>
      </c>
      <c r="BP47" t="s">
        <v>74</v>
      </c>
      <c r="BQ47" t="s">
        <v>74</v>
      </c>
      <c r="BR47" t="s">
        <v>74</v>
      </c>
      <c r="BS47" t="s">
        <v>546</v>
      </c>
      <c r="BT47" t="str">
        <f>HYPERLINK("https%3A%2F%2Fwww.webofscience.com%2Fwos%2Fwoscc%2Ffull-record%2FWOS:000833788000001","View Full Record in Web of Science")</f>
        <v>View Full Record in Web of Science</v>
      </c>
    </row>
    <row r="48" spans="1:72" x14ac:dyDescent="0.15">
      <c r="A48" t="s">
        <v>72</v>
      </c>
      <c r="B48" t="s">
        <v>547</v>
      </c>
      <c r="C48" t="s">
        <v>74</v>
      </c>
      <c r="D48" t="s">
        <v>74</v>
      </c>
      <c r="E48" t="s">
        <v>74</v>
      </c>
      <c r="F48" t="s">
        <v>548</v>
      </c>
      <c r="G48" t="s">
        <v>74</v>
      </c>
      <c r="H48" t="s">
        <v>74</v>
      </c>
      <c r="I48" t="s">
        <v>549</v>
      </c>
      <c r="J48" t="s">
        <v>399</v>
      </c>
      <c r="K48" t="s">
        <v>74</v>
      </c>
      <c r="L48" t="s">
        <v>74</v>
      </c>
      <c r="M48" t="s">
        <v>74</v>
      </c>
      <c r="N48" t="s">
        <v>74</v>
      </c>
      <c r="O48" t="s">
        <v>74</v>
      </c>
      <c r="P48" t="s">
        <v>74</v>
      </c>
      <c r="Q48" t="s">
        <v>74</v>
      </c>
      <c r="R48" t="s">
        <v>74</v>
      </c>
      <c r="S48" t="s">
        <v>74</v>
      </c>
      <c r="T48" t="s">
        <v>74</v>
      </c>
      <c r="U48" t="s">
        <v>74</v>
      </c>
      <c r="V48" t="s">
        <v>550</v>
      </c>
      <c r="W48" t="s">
        <v>74</v>
      </c>
      <c r="X48" t="s">
        <v>74</v>
      </c>
      <c r="Y48" t="s">
        <v>74</v>
      </c>
      <c r="Z48" t="s">
        <v>74</v>
      </c>
      <c r="AA48" t="s">
        <v>551</v>
      </c>
      <c r="AB48" t="s">
        <v>552</v>
      </c>
      <c r="AC48" t="s">
        <v>74</v>
      </c>
      <c r="AD48" t="s">
        <v>74</v>
      </c>
      <c r="AE48" t="s">
        <v>74</v>
      </c>
      <c r="AF48" t="s">
        <v>74</v>
      </c>
      <c r="AG48" t="s">
        <v>74</v>
      </c>
      <c r="AH48" t="s">
        <v>74</v>
      </c>
      <c r="AI48" t="s">
        <v>74</v>
      </c>
      <c r="AJ48" t="s">
        <v>74</v>
      </c>
      <c r="AK48" t="s">
        <v>74</v>
      </c>
      <c r="AL48" t="s">
        <v>74</v>
      </c>
      <c r="AM48" t="s">
        <v>74</v>
      </c>
      <c r="AN48" t="s">
        <v>74</v>
      </c>
      <c r="AO48" t="s">
        <v>403</v>
      </c>
      <c r="AP48" t="s">
        <v>404</v>
      </c>
      <c r="AQ48" t="s">
        <v>74</v>
      </c>
      <c r="AR48" t="s">
        <v>74</v>
      </c>
      <c r="AS48" t="s">
        <v>74</v>
      </c>
      <c r="AT48" t="s">
        <v>199</v>
      </c>
      <c r="AU48">
        <v>2022</v>
      </c>
      <c r="AV48">
        <v>23</v>
      </c>
      <c r="AW48">
        <v>5</v>
      </c>
      <c r="AX48" t="s">
        <v>74</v>
      </c>
      <c r="AY48" t="s">
        <v>74</v>
      </c>
      <c r="AZ48" t="s">
        <v>74</v>
      </c>
      <c r="BA48" t="s">
        <v>74</v>
      </c>
      <c r="BB48">
        <v>637</v>
      </c>
      <c r="BC48">
        <v>658</v>
      </c>
      <c r="BD48" t="s">
        <v>74</v>
      </c>
      <c r="BE48" t="s">
        <v>553</v>
      </c>
      <c r="BF48" t="str">
        <f>HYPERLINK("http://dx.doi.org/10.1175/JHM-D-20-0111.1","http://dx.doi.org/10.1175/JHM-D-20-0111.1")</f>
        <v>http://dx.doi.org/10.1175/JHM-D-20-0111.1</v>
      </c>
      <c r="BG48" t="s">
        <v>74</v>
      </c>
      <c r="BH48" t="s">
        <v>74</v>
      </c>
      <c r="BI48" t="s">
        <v>74</v>
      </c>
      <c r="BJ48" t="s">
        <v>74</v>
      </c>
      <c r="BK48" t="s">
        <v>74</v>
      </c>
      <c r="BL48" t="s">
        <v>74</v>
      </c>
      <c r="BM48" t="s">
        <v>74</v>
      </c>
      <c r="BN48" t="s">
        <v>74</v>
      </c>
      <c r="BO48" t="s">
        <v>74</v>
      </c>
      <c r="BP48" t="s">
        <v>74</v>
      </c>
      <c r="BQ48" t="s">
        <v>74</v>
      </c>
      <c r="BR48" t="s">
        <v>74</v>
      </c>
      <c r="BS48" t="s">
        <v>554</v>
      </c>
      <c r="BT48" t="str">
        <f>HYPERLINK("https%3A%2F%2Fwww.webofscience.com%2Fwos%2Fwoscc%2Ffull-record%2FWOS:000814991800001","View Full Record in Web of Science")</f>
        <v>View Full Record in Web of Science</v>
      </c>
    </row>
    <row r="49" spans="1:72" x14ac:dyDescent="0.15">
      <c r="A49" t="s">
        <v>72</v>
      </c>
      <c r="B49" t="s">
        <v>555</v>
      </c>
      <c r="C49" t="s">
        <v>74</v>
      </c>
      <c r="D49" t="s">
        <v>74</v>
      </c>
      <c r="E49" t="s">
        <v>74</v>
      </c>
      <c r="F49" t="s">
        <v>556</v>
      </c>
      <c r="G49" t="s">
        <v>74</v>
      </c>
      <c r="H49" t="s">
        <v>74</v>
      </c>
      <c r="I49" t="s">
        <v>557</v>
      </c>
      <c r="J49" t="s">
        <v>122</v>
      </c>
      <c r="K49" t="s">
        <v>74</v>
      </c>
      <c r="L49" t="s">
        <v>74</v>
      </c>
      <c r="M49" t="s">
        <v>74</v>
      </c>
      <c r="N49" t="s">
        <v>74</v>
      </c>
      <c r="O49" t="s">
        <v>74</v>
      </c>
      <c r="P49" t="s">
        <v>74</v>
      </c>
      <c r="Q49" t="s">
        <v>74</v>
      </c>
      <c r="R49" t="s">
        <v>74</v>
      </c>
      <c r="S49" t="s">
        <v>74</v>
      </c>
      <c r="T49" t="s">
        <v>74</v>
      </c>
      <c r="U49" t="s">
        <v>74</v>
      </c>
      <c r="V49" t="s">
        <v>558</v>
      </c>
      <c r="W49" t="s">
        <v>74</v>
      </c>
      <c r="X49" t="s">
        <v>74</v>
      </c>
      <c r="Y49" t="s">
        <v>74</v>
      </c>
      <c r="Z49" t="s">
        <v>74</v>
      </c>
      <c r="AA49" t="s">
        <v>559</v>
      </c>
      <c r="AB49" t="s">
        <v>560</v>
      </c>
      <c r="AC49" t="s">
        <v>74</v>
      </c>
      <c r="AD49" t="s">
        <v>74</v>
      </c>
      <c r="AE49" t="s">
        <v>74</v>
      </c>
      <c r="AF49" t="s">
        <v>74</v>
      </c>
      <c r="AG49" t="s">
        <v>74</v>
      </c>
      <c r="AH49" t="s">
        <v>74</v>
      </c>
      <c r="AI49" t="s">
        <v>74</v>
      </c>
      <c r="AJ49" t="s">
        <v>74</v>
      </c>
      <c r="AK49" t="s">
        <v>74</v>
      </c>
      <c r="AL49" t="s">
        <v>74</v>
      </c>
      <c r="AM49" t="s">
        <v>74</v>
      </c>
      <c r="AN49" t="s">
        <v>74</v>
      </c>
      <c r="AO49" t="s">
        <v>126</v>
      </c>
      <c r="AP49" t="s">
        <v>127</v>
      </c>
      <c r="AQ49" t="s">
        <v>74</v>
      </c>
      <c r="AR49" t="s">
        <v>74</v>
      </c>
      <c r="AS49" t="s">
        <v>74</v>
      </c>
      <c r="AT49" t="s">
        <v>561</v>
      </c>
      <c r="AU49">
        <v>2022</v>
      </c>
      <c r="AV49">
        <v>275</v>
      </c>
      <c r="AW49" t="s">
        <v>74</v>
      </c>
      <c r="AX49" t="s">
        <v>74</v>
      </c>
      <c r="AY49" t="s">
        <v>74</v>
      </c>
      <c r="AZ49" t="s">
        <v>74</v>
      </c>
      <c r="BA49" t="s">
        <v>74</v>
      </c>
      <c r="BB49" t="s">
        <v>74</v>
      </c>
      <c r="BC49" t="s">
        <v>74</v>
      </c>
      <c r="BD49">
        <v>113017</v>
      </c>
      <c r="BE49" t="s">
        <v>562</v>
      </c>
      <c r="BF49" t="str">
        <f>HYPERLINK("http://dx.doi.org/10.1016/j.rse.2022.113017","http://dx.doi.org/10.1016/j.rse.2022.113017")</f>
        <v>http://dx.doi.org/10.1016/j.rse.2022.113017</v>
      </c>
      <c r="BG49" t="s">
        <v>74</v>
      </c>
      <c r="BH49" t="s">
        <v>563</v>
      </c>
      <c r="BI49" t="s">
        <v>74</v>
      </c>
      <c r="BJ49" t="s">
        <v>74</v>
      </c>
      <c r="BK49" t="s">
        <v>74</v>
      </c>
      <c r="BL49" t="s">
        <v>74</v>
      </c>
      <c r="BM49" t="s">
        <v>74</v>
      </c>
      <c r="BN49" t="s">
        <v>74</v>
      </c>
      <c r="BO49" t="s">
        <v>74</v>
      </c>
      <c r="BP49" t="s">
        <v>74</v>
      </c>
      <c r="BQ49" t="s">
        <v>74</v>
      </c>
      <c r="BR49" t="s">
        <v>74</v>
      </c>
      <c r="BS49" t="s">
        <v>564</v>
      </c>
      <c r="BT49" t="str">
        <f>HYPERLINK("https%3A%2F%2Fwww.webofscience.com%2Fwos%2Fwoscc%2Ffull-record%2FWOS:000798981000003","View Full Record in Web of Science")</f>
        <v>View Full Record in Web of Science</v>
      </c>
    </row>
    <row r="50" spans="1:72" x14ac:dyDescent="0.15">
      <c r="A50" t="s">
        <v>72</v>
      </c>
      <c r="B50" t="s">
        <v>565</v>
      </c>
      <c r="C50" t="s">
        <v>74</v>
      </c>
      <c r="D50" t="s">
        <v>74</v>
      </c>
      <c r="E50" t="s">
        <v>74</v>
      </c>
      <c r="F50" t="s">
        <v>566</v>
      </c>
      <c r="G50" t="s">
        <v>74</v>
      </c>
      <c r="H50" t="s">
        <v>74</v>
      </c>
      <c r="I50" t="s">
        <v>567</v>
      </c>
      <c r="J50" t="s">
        <v>568</v>
      </c>
      <c r="K50" t="s">
        <v>74</v>
      </c>
      <c r="L50" t="s">
        <v>74</v>
      </c>
      <c r="M50" t="s">
        <v>74</v>
      </c>
      <c r="N50" t="s">
        <v>74</v>
      </c>
      <c r="O50" t="s">
        <v>74</v>
      </c>
      <c r="P50" t="s">
        <v>74</v>
      </c>
      <c r="Q50" t="s">
        <v>74</v>
      </c>
      <c r="R50" t="s">
        <v>74</v>
      </c>
      <c r="S50" t="s">
        <v>74</v>
      </c>
      <c r="T50" t="s">
        <v>74</v>
      </c>
      <c r="U50" t="s">
        <v>74</v>
      </c>
      <c r="V50" t="s">
        <v>569</v>
      </c>
      <c r="W50" t="s">
        <v>74</v>
      </c>
      <c r="X50" t="s">
        <v>74</v>
      </c>
      <c r="Y50" t="s">
        <v>74</v>
      </c>
      <c r="Z50" t="s">
        <v>74</v>
      </c>
      <c r="AA50" t="s">
        <v>570</v>
      </c>
      <c r="AB50" t="s">
        <v>571</v>
      </c>
      <c r="AC50" t="s">
        <v>74</v>
      </c>
      <c r="AD50" t="s">
        <v>74</v>
      </c>
      <c r="AE50" t="s">
        <v>74</v>
      </c>
      <c r="AF50" t="s">
        <v>74</v>
      </c>
      <c r="AG50" t="s">
        <v>74</v>
      </c>
      <c r="AH50" t="s">
        <v>74</v>
      </c>
      <c r="AI50" t="s">
        <v>74</v>
      </c>
      <c r="AJ50" t="s">
        <v>74</v>
      </c>
      <c r="AK50" t="s">
        <v>74</v>
      </c>
      <c r="AL50" t="s">
        <v>74</v>
      </c>
      <c r="AM50" t="s">
        <v>74</v>
      </c>
      <c r="AN50" t="s">
        <v>74</v>
      </c>
      <c r="AO50" t="s">
        <v>572</v>
      </c>
      <c r="AP50" t="s">
        <v>573</v>
      </c>
      <c r="AQ50" t="s">
        <v>74</v>
      </c>
      <c r="AR50" t="s">
        <v>74</v>
      </c>
      <c r="AS50" t="s">
        <v>74</v>
      </c>
      <c r="AT50" t="s">
        <v>311</v>
      </c>
      <c r="AU50">
        <v>2022</v>
      </c>
      <c r="AV50">
        <v>160</v>
      </c>
      <c r="AW50" t="s">
        <v>74</v>
      </c>
      <c r="AX50" t="s">
        <v>74</v>
      </c>
      <c r="AY50" t="s">
        <v>74</v>
      </c>
      <c r="AZ50" t="s">
        <v>74</v>
      </c>
      <c r="BA50" t="s">
        <v>74</v>
      </c>
      <c r="BB50" t="s">
        <v>74</v>
      </c>
      <c r="BC50" t="s">
        <v>74</v>
      </c>
      <c r="BD50">
        <v>104075</v>
      </c>
      <c r="BE50" t="s">
        <v>574</v>
      </c>
      <c r="BF50" t="str">
        <f>HYPERLINK("http://dx.doi.org/10.1016/j.advwatres.2021.104075","http://dx.doi.org/10.1016/j.advwatres.2021.104075")</f>
        <v>http://dx.doi.org/10.1016/j.advwatres.2021.104075</v>
      </c>
      <c r="BG50" t="s">
        <v>74</v>
      </c>
      <c r="BH50" t="s">
        <v>575</v>
      </c>
      <c r="BI50" t="s">
        <v>74</v>
      </c>
      <c r="BJ50" t="s">
        <v>74</v>
      </c>
      <c r="BK50" t="s">
        <v>74</v>
      </c>
      <c r="BL50" t="s">
        <v>74</v>
      </c>
      <c r="BM50" t="s">
        <v>74</v>
      </c>
      <c r="BN50" t="s">
        <v>74</v>
      </c>
      <c r="BO50" t="s">
        <v>74</v>
      </c>
      <c r="BP50" t="s">
        <v>74</v>
      </c>
      <c r="BQ50" t="s">
        <v>74</v>
      </c>
      <c r="BR50" t="s">
        <v>74</v>
      </c>
      <c r="BS50" t="s">
        <v>576</v>
      </c>
      <c r="BT50" t="str">
        <f>HYPERLINK("https%3A%2F%2Fwww.webofscience.com%2Fwos%2Fwoscc%2Ffull-record%2FWOS:000788071300005","View Full Record in Web of Science")</f>
        <v>View Full Record in Web of Science</v>
      </c>
    </row>
    <row r="51" spans="1:72" x14ac:dyDescent="0.15">
      <c r="A51" t="s">
        <v>252</v>
      </c>
      <c r="B51" t="s">
        <v>577</v>
      </c>
      <c r="C51" t="s">
        <v>74</v>
      </c>
      <c r="D51" t="s">
        <v>74</v>
      </c>
      <c r="E51" t="s">
        <v>254</v>
      </c>
      <c r="F51" t="s">
        <v>578</v>
      </c>
      <c r="G51" t="s">
        <v>74</v>
      </c>
      <c r="H51" t="s">
        <v>74</v>
      </c>
      <c r="I51" t="s">
        <v>579</v>
      </c>
      <c r="J51" t="s">
        <v>580</v>
      </c>
      <c r="K51" t="s">
        <v>258</v>
      </c>
      <c r="L51" t="s">
        <v>74</v>
      </c>
      <c r="M51" t="s">
        <v>74</v>
      </c>
      <c r="N51" t="s">
        <v>74</v>
      </c>
      <c r="O51" t="s">
        <v>388</v>
      </c>
      <c r="P51" t="s">
        <v>581</v>
      </c>
      <c r="Q51" t="s">
        <v>582</v>
      </c>
      <c r="R51" t="s">
        <v>254</v>
      </c>
      <c r="S51" t="s">
        <v>74</v>
      </c>
      <c r="T51" t="s">
        <v>74</v>
      </c>
      <c r="U51" t="s">
        <v>74</v>
      </c>
      <c r="V51" t="s">
        <v>583</v>
      </c>
      <c r="W51" t="s">
        <v>74</v>
      </c>
      <c r="X51" t="s">
        <v>74</v>
      </c>
      <c r="Y51" t="s">
        <v>74</v>
      </c>
      <c r="Z51" t="s">
        <v>74</v>
      </c>
      <c r="AA51" t="s">
        <v>584</v>
      </c>
      <c r="AB51" t="s">
        <v>585</v>
      </c>
      <c r="AC51" t="s">
        <v>74</v>
      </c>
      <c r="AD51" t="s">
        <v>74</v>
      </c>
      <c r="AE51" t="s">
        <v>74</v>
      </c>
      <c r="AF51" t="s">
        <v>74</v>
      </c>
      <c r="AG51" t="s">
        <v>74</v>
      </c>
      <c r="AH51" t="s">
        <v>74</v>
      </c>
      <c r="AI51" t="s">
        <v>74</v>
      </c>
      <c r="AJ51" t="s">
        <v>74</v>
      </c>
      <c r="AK51" t="s">
        <v>74</v>
      </c>
      <c r="AL51" t="s">
        <v>74</v>
      </c>
      <c r="AM51" t="s">
        <v>74</v>
      </c>
      <c r="AN51" t="s">
        <v>74</v>
      </c>
      <c r="AO51" t="s">
        <v>265</v>
      </c>
      <c r="AP51" t="s">
        <v>74</v>
      </c>
      <c r="AQ51" t="s">
        <v>586</v>
      </c>
      <c r="AR51" t="s">
        <v>74</v>
      </c>
      <c r="AS51" t="s">
        <v>74</v>
      </c>
      <c r="AT51" t="s">
        <v>74</v>
      </c>
      <c r="AU51">
        <v>2022</v>
      </c>
      <c r="AV51" t="s">
        <v>74</v>
      </c>
      <c r="AW51" t="s">
        <v>74</v>
      </c>
      <c r="AX51" t="s">
        <v>74</v>
      </c>
      <c r="AY51" t="s">
        <v>74</v>
      </c>
      <c r="AZ51" t="s">
        <v>74</v>
      </c>
      <c r="BA51" t="s">
        <v>74</v>
      </c>
      <c r="BB51">
        <v>3927</v>
      </c>
      <c r="BC51">
        <v>3930</v>
      </c>
      <c r="BD51" t="s">
        <v>74</v>
      </c>
      <c r="BE51" t="s">
        <v>587</v>
      </c>
      <c r="BF51" t="str">
        <f>HYPERLINK("http://dx.doi.org/10.1109/IGARSS46834.2022.9883412","http://dx.doi.org/10.1109/IGARSS46834.2022.9883412")</f>
        <v>http://dx.doi.org/10.1109/IGARSS46834.2022.9883412</v>
      </c>
      <c r="BG51" t="s">
        <v>74</v>
      </c>
      <c r="BH51" t="s">
        <v>74</v>
      </c>
      <c r="BI51" t="s">
        <v>74</v>
      </c>
      <c r="BJ51" t="s">
        <v>74</v>
      </c>
      <c r="BK51" t="s">
        <v>74</v>
      </c>
      <c r="BL51" t="s">
        <v>74</v>
      </c>
      <c r="BM51" t="s">
        <v>74</v>
      </c>
      <c r="BN51" t="s">
        <v>74</v>
      </c>
      <c r="BO51" t="s">
        <v>74</v>
      </c>
      <c r="BP51" t="s">
        <v>74</v>
      </c>
      <c r="BQ51" t="s">
        <v>74</v>
      </c>
      <c r="BR51" t="s">
        <v>74</v>
      </c>
      <c r="BS51" t="s">
        <v>588</v>
      </c>
      <c r="BT51" t="str">
        <f>HYPERLINK("https%3A%2F%2Fwww.webofscience.com%2Fwos%2Fwoscc%2Ffull-record%2FWOS:000920916604024","View Full Record in Web of Science")</f>
        <v>View Full Record in Web of Science</v>
      </c>
    </row>
    <row r="52" spans="1:72" x14ac:dyDescent="0.15">
      <c r="A52" t="s">
        <v>72</v>
      </c>
      <c r="B52" t="s">
        <v>589</v>
      </c>
      <c r="C52" t="s">
        <v>74</v>
      </c>
      <c r="D52" t="s">
        <v>74</v>
      </c>
      <c r="E52" t="s">
        <v>74</v>
      </c>
      <c r="F52" t="s">
        <v>590</v>
      </c>
      <c r="G52" t="s">
        <v>74</v>
      </c>
      <c r="H52" t="s">
        <v>74</v>
      </c>
      <c r="I52" t="s">
        <v>591</v>
      </c>
      <c r="J52" t="s">
        <v>287</v>
      </c>
      <c r="K52" t="s">
        <v>74</v>
      </c>
      <c r="L52" t="s">
        <v>74</v>
      </c>
      <c r="M52" t="s">
        <v>74</v>
      </c>
      <c r="N52" t="s">
        <v>74</v>
      </c>
      <c r="O52" t="s">
        <v>74</v>
      </c>
      <c r="P52" t="s">
        <v>74</v>
      </c>
      <c r="Q52" t="s">
        <v>74</v>
      </c>
      <c r="R52" t="s">
        <v>74</v>
      </c>
      <c r="S52" t="s">
        <v>74</v>
      </c>
      <c r="T52" t="s">
        <v>74</v>
      </c>
      <c r="U52" t="s">
        <v>74</v>
      </c>
      <c r="V52" t="s">
        <v>592</v>
      </c>
      <c r="W52" t="s">
        <v>74</v>
      </c>
      <c r="X52" t="s">
        <v>74</v>
      </c>
      <c r="Y52" t="s">
        <v>74</v>
      </c>
      <c r="Z52" t="s">
        <v>74</v>
      </c>
      <c r="AA52" t="s">
        <v>74</v>
      </c>
      <c r="AB52" t="s">
        <v>593</v>
      </c>
      <c r="AC52" t="s">
        <v>74</v>
      </c>
      <c r="AD52" t="s">
        <v>74</v>
      </c>
      <c r="AE52" t="s">
        <v>74</v>
      </c>
      <c r="AF52" t="s">
        <v>74</v>
      </c>
      <c r="AG52" t="s">
        <v>74</v>
      </c>
      <c r="AH52" t="s">
        <v>74</v>
      </c>
      <c r="AI52" t="s">
        <v>74</v>
      </c>
      <c r="AJ52" t="s">
        <v>74</v>
      </c>
      <c r="AK52" t="s">
        <v>74</v>
      </c>
      <c r="AL52" t="s">
        <v>74</v>
      </c>
      <c r="AM52" t="s">
        <v>74</v>
      </c>
      <c r="AN52" t="s">
        <v>74</v>
      </c>
      <c r="AO52" t="s">
        <v>291</v>
      </c>
      <c r="AP52" t="s">
        <v>292</v>
      </c>
      <c r="AQ52" t="s">
        <v>74</v>
      </c>
      <c r="AR52" t="s">
        <v>74</v>
      </c>
      <c r="AS52" t="s">
        <v>74</v>
      </c>
      <c r="AT52" t="s">
        <v>74</v>
      </c>
      <c r="AU52">
        <v>2022</v>
      </c>
      <c r="AV52">
        <v>15</v>
      </c>
      <c r="AW52">
        <v>1</v>
      </c>
      <c r="AX52" t="s">
        <v>74</v>
      </c>
      <c r="AY52" t="s">
        <v>74</v>
      </c>
      <c r="AZ52" t="s">
        <v>74</v>
      </c>
      <c r="BA52" t="s">
        <v>74</v>
      </c>
      <c r="BB52">
        <v>2355</v>
      </c>
      <c r="BC52">
        <v>2375</v>
      </c>
      <c r="BD52" t="s">
        <v>74</v>
      </c>
      <c r="BE52" t="s">
        <v>594</v>
      </c>
      <c r="BF52" t="str">
        <f>HYPERLINK("http://dx.doi.org/10.1080/17538947.2022.2152886","http://dx.doi.org/10.1080/17538947.2022.2152886")</f>
        <v>http://dx.doi.org/10.1080/17538947.2022.2152886</v>
      </c>
      <c r="BG52" t="s">
        <v>74</v>
      </c>
      <c r="BH52" t="s">
        <v>74</v>
      </c>
      <c r="BI52" t="s">
        <v>74</v>
      </c>
      <c r="BJ52" t="s">
        <v>74</v>
      </c>
      <c r="BK52" t="s">
        <v>74</v>
      </c>
      <c r="BL52" t="s">
        <v>74</v>
      </c>
      <c r="BM52" t="s">
        <v>74</v>
      </c>
      <c r="BN52" t="s">
        <v>74</v>
      </c>
      <c r="BO52" t="s">
        <v>74</v>
      </c>
      <c r="BP52" t="s">
        <v>74</v>
      </c>
      <c r="BQ52" t="s">
        <v>74</v>
      </c>
      <c r="BR52" t="s">
        <v>74</v>
      </c>
      <c r="BS52" t="s">
        <v>595</v>
      </c>
      <c r="BT52" t="str">
        <f>HYPERLINK("https%3A%2F%2Fwww.webofscience.com%2Fwos%2Fwoscc%2Ffull-record%2FWOS:000933403100001","View Full Record in Web of Science")</f>
        <v>View Full Record in Web of Science</v>
      </c>
    </row>
    <row r="53" spans="1:72" x14ac:dyDescent="0.15">
      <c r="A53" t="s">
        <v>252</v>
      </c>
      <c r="B53" t="s">
        <v>596</v>
      </c>
      <c r="C53" t="s">
        <v>74</v>
      </c>
      <c r="D53" t="s">
        <v>74</v>
      </c>
      <c r="E53" t="s">
        <v>254</v>
      </c>
      <c r="F53" t="s">
        <v>597</v>
      </c>
      <c r="G53" t="s">
        <v>74</v>
      </c>
      <c r="H53" t="s">
        <v>74</v>
      </c>
      <c r="I53" t="s">
        <v>598</v>
      </c>
      <c r="J53" t="s">
        <v>580</v>
      </c>
      <c r="K53" t="s">
        <v>258</v>
      </c>
      <c r="L53" t="s">
        <v>74</v>
      </c>
      <c r="M53" t="s">
        <v>74</v>
      </c>
      <c r="N53" t="s">
        <v>74</v>
      </c>
      <c r="O53" t="s">
        <v>388</v>
      </c>
      <c r="P53" t="s">
        <v>581</v>
      </c>
      <c r="Q53" t="s">
        <v>582</v>
      </c>
      <c r="R53" t="s">
        <v>254</v>
      </c>
      <c r="S53" t="s">
        <v>74</v>
      </c>
      <c r="T53" t="s">
        <v>74</v>
      </c>
      <c r="U53" t="s">
        <v>74</v>
      </c>
      <c r="V53" t="s">
        <v>599</v>
      </c>
      <c r="W53" t="s">
        <v>74</v>
      </c>
      <c r="X53" t="s">
        <v>74</v>
      </c>
      <c r="Y53" t="s">
        <v>74</v>
      </c>
      <c r="Z53" t="s">
        <v>74</v>
      </c>
      <c r="AA53" t="s">
        <v>600</v>
      </c>
      <c r="AB53" t="s">
        <v>601</v>
      </c>
      <c r="AC53" t="s">
        <v>74</v>
      </c>
      <c r="AD53" t="s">
        <v>74</v>
      </c>
      <c r="AE53" t="s">
        <v>74</v>
      </c>
      <c r="AF53" t="s">
        <v>74</v>
      </c>
      <c r="AG53" t="s">
        <v>74</v>
      </c>
      <c r="AH53" t="s">
        <v>74</v>
      </c>
      <c r="AI53" t="s">
        <v>74</v>
      </c>
      <c r="AJ53" t="s">
        <v>74</v>
      </c>
      <c r="AK53" t="s">
        <v>74</v>
      </c>
      <c r="AL53" t="s">
        <v>74</v>
      </c>
      <c r="AM53" t="s">
        <v>74</v>
      </c>
      <c r="AN53" t="s">
        <v>74</v>
      </c>
      <c r="AO53" t="s">
        <v>265</v>
      </c>
      <c r="AP53" t="s">
        <v>74</v>
      </c>
      <c r="AQ53" t="s">
        <v>586</v>
      </c>
      <c r="AR53" t="s">
        <v>74</v>
      </c>
      <c r="AS53" t="s">
        <v>74</v>
      </c>
      <c r="AT53" t="s">
        <v>74</v>
      </c>
      <c r="AU53">
        <v>2022</v>
      </c>
      <c r="AV53" t="s">
        <v>74</v>
      </c>
      <c r="AW53" t="s">
        <v>74</v>
      </c>
      <c r="AX53" t="s">
        <v>74</v>
      </c>
      <c r="AY53" t="s">
        <v>74</v>
      </c>
      <c r="AZ53" t="s">
        <v>74</v>
      </c>
      <c r="BA53" t="s">
        <v>74</v>
      </c>
      <c r="BB53">
        <v>5180</v>
      </c>
      <c r="BC53">
        <v>5183</v>
      </c>
      <c r="BD53" t="s">
        <v>74</v>
      </c>
      <c r="BE53" t="s">
        <v>602</v>
      </c>
      <c r="BF53" t="str">
        <f>HYPERLINK("http://dx.doi.org/10.1109/IGARSS46834.2022.9884859","http://dx.doi.org/10.1109/IGARSS46834.2022.9884859")</f>
        <v>http://dx.doi.org/10.1109/IGARSS46834.2022.9884859</v>
      </c>
      <c r="BG53" t="s">
        <v>74</v>
      </c>
      <c r="BH53" t="s">
        <v>74</v>
      </c>
      <c r="BI53" t="s">
        <v>74</v>
      </c>
      <c r="BJ53" t="s">
        <v>74</v>
      </c>
      <c r="BK53" t="s">
        <v>74</v>
      </c>
      <c r="BL53" t="s">
        <v>74</v>
      </c>
      <c r="BM53" t="s">
        <v>74</v>
      </c>
      <c r="BN53" t="s">
        <v>74</v>
      </c>
      <c r="BO53" t="s">
        <v>74</v>
      </c>
      <c r="BP53" t="s">
        <v>74</v>
      </c>
      <c r="BQ53" t="s">
        <v>74</v>
      </c>
      <c r="BR53" t="s">
        <v>74</v>
      </c>
      <c r="BS53" t="s">
        <v>603</v>
      </c>
      <c r="BT53" t="str">
        <f>HYPERLINK("https%3A%2F%2Fwww.webofscience.com%2Fwos%2Fwoscc%2Ffull-record%2FWOS:000920916605064","View Full Record in Web of Science")</f>
        <v>View Full Record in Web of Science</v>
      </c>
    </row>
    <row r="54" spans="1:72" x14ac:dyDescent="0.15">
      <c r="A54" t="s">
        <v>72</v>
      </c>
      <c r="B54" t="s">
        <v>604</v>
      </c>
      <c r="C54" t="s">
        <v>74</v>
      </c>
      <c r="D54" t="s">
        <v>74</v>
      </c>
      <c r="E54" t="s">
        <v>74</v>
      </c>
      <c r="F54" t="s">
        <v>605</v>
      </c>
      <c r="G54" t="s">
        <v>74</v>
      </c>
      <c r="H54" t="s">
        <v>74</v>
      </c>
      <c r="I54" t="s">
        <v>606</v>
      </c>
      <c r="J54" t="s">
        <v>96</v>
      </c>
      <c r="K54" t="s">
        <v>74</v>
      </c>
      <c r="L54" t="s">
        <v>74</v>
      </c>
      <c r="M54" t="s">
        <v>74</v>
      </c>
      <c r="N54" t="s">
        <v>74</v>
      </c>
      <c r="O54" t="s">
        <v>74</v>
      </c>
      <c r="P54" t="s">
        <v>74</v>
      </c>
      <c r="Q54" t="s">
        <v>74</v>
      </c>
      <c r="R54" t="s">
        <v>74</v>
      </c>
      <c r="S54" t="s">
        <v>74</v>
      </c>
      <c r="T54" t="s">
        <v>74</v>
      </c>
      <c r="U54" t="s">
        <v>74</v>
      </c>
      <c r="V54" t="s">
        <v>607</v>
      </c>
      <c r="W54" t="s">
        <v>74</v>
      </c>
      <c r="X54" t="s">
        <v>74</v>
      </c>
      <c r="Y54" t="s">
        <v>74</v>
      </c>
      <c r="Z54" t="s">
        <v>74</v>
      </c>
      <c r="AA54" t="s">
        <v>608</v>
      </c>
      <c r="AB54" t="s">
        <v>609</v>
      </c>
      <c r="AC54" t="s">
        <v>74</v>
      </c>
      <c r="AD54" t="s">
        <v>74</v>
      </c>
      <c r="AE54" t="s">
        <v>74</v>
      </c>
      <c r="AF54" t="s">
        <v>74</v>
      </c>
      <c r="AG54" t="s">
        <v>74</v>
      </c>
      <c r="AH54" t="s">
        <v>74</v>
      </c>
      <c r="AI54" t="s">
        <v>74</v>
      </c>
      <c r="AJ54" t="s">
        <v>74</v>
      </c>
      <c r="AK54" t="s">
        <v>74</v>
      </c>
      <c r="AL54" t="s">
        <v>74</v>
      </c>
      <c r="AM54" t="s">
        <v>74</v>
      </c>
      <c r="AN54" t="s">
        <v>74</v>
      </c>
      <c r="AO54" t="s">
        <v>99</v>
      </c>
      <c r="AP54" t="s">
        <v>100</v>
      </c>
      <c r="AQ54" t="s">
        <v>74</v>
      </c>
      <c r="AR54" t="s">
        <v>74</v>
      </c>
      <c r="AS54" t="s">
        <v>74</v>
      </c>
      <c r="AT54" t="s">
        <v>74</v>
      </c>
      <c r="AU54">
        <v>2022</v>
      </c>
      <c r="AV54">
        <v>60</v>
      </c>
      <c r="AW54" t="s">
        <v>74</v>
      </c>
      <c r="AX54" t="s">
        <v>74</v>
      </c>
      <c r="AY54" t="s">
        <v>74</v>
      </c>
      <c r="AZ54" t="s">
        <v>74</v>
      </c>
      <c r="BA54" t="s">
        <v>74</v>
      </c>
      <c r="BB54" t="s">
        <v>74</v>
      </c>
      <c r="BC54" t="s">
        <v>74</v>
      </c>
      <c r="BD54">
        <v>4305419</v>
      </c>
      <c r="BE54" t="s">
        <v>610</v>
      </c>
      <c r="BF54" t="str">
        <f>HYPERLINK("http://dx.doi.org/10.1109/TGRS.2022.3191409","http://dx.doi.org/10.1109/TGRS.2022.3191409")</f>
        <v>http://dx.doi.org/10.1109/TGRS.2022.3191409</v>
      </c>
      <c r="BG54" t="s">
        <v>74</v>
      </c>
      <c r="BH54" t="s">
        <v>74</v>
      </c>
      <c r="BI54" t="s">
        <v>74</v>
      </c>
      <c r="BJ54" t="s">
        <v>74</v>
      </c>
      <c r="BK54" t="s">
        <v>74</v>
      </c>
      <c r="BL54" t="s">
        <v>74</v>
      </c>
      <c r="BM54" t="s">
        <v>74</v>
      </c>
      <c r="BN54" t="s">
        <v>74</v>
      </c>
      <c r="BO54" t="s">
        <v>74</v>
      </c>
      <c r="BP54" t="s">
        <v>74</v>
      </c>
      <c r="BQ54" t="s">
        <v>74</v>
      </c>
      <c r="BR54" t="s">
        <v>74</v>
      </c>
      <c r="BS54" t="s">
        <v>611</v>
      </c>
      <c r="BT54" t="str">
        <f>HYPERLINK("https%3A%2F%2Fwww.webofscience.com%2Fwos%2Fwoscc%2Ffull-record%2FWOS:000831177200001","View Full Record in Web of Science")</f>
        <v>View Full Record in Web of Science</v>
      </c>
    </row>
    <row r="55" spans="1:72" x14ac:dyDescent="0.15">
      <c r="A55" t="s">
        <v>72</v>
      </c>
      <c r="B55" t="s">
        <v>612</v>
      </c>
      <c r="C55" t="s">
        <v>74</v>
      </c>
      <c r="D55" t="s">
        <v>74</v>
      </c>
      <c r="E55" t="s">
        <v>74</v>
      </c>
      <c r="F55" t="s">
        <v>613</v>
      </c>
      <c r="G55" t="s">
        <v>74</v>
      </c>
      <c r="H55" t="s">
        <v>74</v>
      </c>
      <c r="I55" t="s">
        <v>614</v>
      </c>
      <c r="J55" t="s">
        <v>450</v>
      </c>
      <c r="K55" t="s">
        <v>74</v>
      </c>
      <c r="L55" t="s">
        <v>74</v>
      </c>
      <c r="M55" t="s">
        <v>74</v>
      </c>
      <c r="N55" t="s">
        <v>74</v>
      </c>
      <c r="O55" t="s">
        <v>74</v>
      </c>
      <c r="P55" t="s">
        <v>74</v>
      </c>
      <c r="Q55" t="s">
        <v>74</v>
      </c>
      <c r="R55" t="s">
        <v>74</v>
      </c>
      <c r="S55" t="s">
        <v>74</v>
      </c>
      <c r="T55" t="s">
        <v>74</v>
      </c>
      <c r="U55" t="s">
        <v>74</v>
      </c>
      <c r="V55" t="s">
        <v>615</v>
      </c>
      <c r="W55" t="s">
        <v>74</v>
      </c>
      <c r="X55" t="s">
        <v>74</v>
      </c>
      <c r="Y55" t="s">
        <v>74</v>
      </c>
      <c r="Z55" t="s">
        <v>74</v>
      </c>
      <c r="AA55" t="s">
        <v>616</v>
      </c>
      <c r="AB55" t="s">
        <v>617</v>
      </c>
      <c r="AC55" t="s">
        <v>74</v>
      </c>
      <c r="AD55" t="s">
        <v>74</v>
      </c>
      <c r="AE55" t="s">
        <v>74</v>
      </c>
      <c r="AF55" t="s">
        <v>74</v>
      </c>
      <c r="AG55" t="s">
        <v>74</v>
      </c>
      <c r="AH55" t="s">
        <v>74</v>
      </c>
      <c r="AI55" t="s">
        <v>74</v>
      </c>
      <c r="AJ55" t="s">
        <v>74</v>
      </c>
      <c r="AK55" t="s">
        <v>74</v>
      </c>
      <c r="AL55" t="s">
        <v>74</v>
      </c>
      <c r="AM55" t="s">
        <v>74</v>
      </c>
      <c r="AN55" t="s">
        <v>74</v>
      </c>
      <c r="AO55" t="s">
        <v>454</v>
      </c>
      <c r="AP55" t="s">
        <v>455</v>
      </c>
      <c r="AQ55" t="s">
        <v>74</v>
      </c>
      <c r="AR55" t="s">
        <v>74</v>
      </c>
      <c r="AS55" t="s">
        <v>74</v>
      </c>
      <c r="AT55" t="s">
        <v>74</v>
      </c>
      <c r="AU55">
        <v>2022</v>
      </c>
      <c r="AV55">
        <v>19</v>
      </c>
      <c r="AW55" t="s">
        <v>74</v>
      </c>
      <c r="AX55" t="s">
        <v>74</v>
      </c>
      <c r="AY55" t="s">
        <v>74</v>
      </c>
      <c r="AZ55" t="s">
        <v>74</v>
      </c>
      <c r="BA55" t="s">
        <v>74</v>
      </c>
      <c r="BB55" t="s">
        <v>74</v>
      </c>
      <c r="BC55" t="s">
        <v>74</v>
      </c>
      <c r="BD55">
        <v>2001305</v>
      </c>
      <c r="BE55" t="s">
        <v>618</v>
      </c>
      <c r="BF55" t="str">
        <f>HYPERLINK("http://dx.doi.org/10.1109/LGRS.2022.3196135","http://dx.doi.org/10.1109/LGRS.2022.3196135")</f>
        <v>http://dx.doi.org/10.1109/LGRS.2022.3196135</v>
      </c>
      <c r="BG55" t="s">
        <v>74</v>
      </c>
      <c r="BH55" t="s">
        <v>74</v>
      </c>
      <c r="BI55" t="s">
        <v>74</v>
      </c>
      <c r="BJ55" t="s">
        <v>74</v>
      </c>
      <c r="BK55" t="s">
        <v>74</v>
      </c>
      <c r="BL55" t="s">
        <v>74</v>
      </c>
      <c r="BM55" t="s">
        <v>74</v>
      </c>
      <c r="BN55" t="s">
        <v>74</v>
      </c>
      <c r="BO55" t="s">
        <v>74</v>
      </c>
      <c r="BP55" t="s">
        <v>74</v>
      </c>
      <c r="BQ55" t="s">
        <v>74</v>
      </c>
      <c r="BR55" t="s">
        <v>74</v>
      </c>
      <c r="BS55" t="s">
        <v>619</v>
      </c>
      <c r="BT55" t="str">
        <f>HYPERLINK("https%3A%2F%2Fwww.webofscience.com%2Fwos%2Fwoscc%2Ffull-record%2FWOS:000842059000007","View Full Record in Web of Science")</f>
        <v>View Full Record in Web of Science</v>
      </c>
    </row>
    <row r="56" spans="1:72" x14ac:dyDescent="0.15">
      <c r="A56" t="s">
        <v>72</v>
      </c>
      <c r="B56" t="s">
        <v>620</v>
      </c>
      <c r="C56" t="s">
        <v>74</v>
      </c>
      <c r="D56" t="s">
        <v>74</v>
      </c>
      <c r="E56" t="s">
        <v>74</v>
      </c>
      <c r="F56" t="s">
        <v>621</v>
      </c>
      <c r="G56" t="s">
        <v>74</v>
      </c>
      <c r="H56" t="s">
        <v>74</v>
      </c>
      <c r="I56" t="s">
        <v>622</v>
      </c>
      <c r="J56" t="s">
        <v>450</v>
      </c>
      <c r="K56" t="s">
        <v>74</v>
      </c>
      <c r="L56" t="s">
        <v>74</v>
      </c>
      <c r="M56" t="s">
        <v>74</v>
      </c>
      <c r="N56" t="s">
        <v>74</v>
      </c>
      <c r="O56" t="s">
        <v>74</v>
      </c>
      <c r="P56" t="s">
        <v>74</v>
      </c>
      <c r="Q56" t="s">
        <v>74</v>
      </c>
      <c r="R56" t="s">
        <v>74</v>
      </c>
      <c r="S56" t="s">
        <v>74</v>
      </c>
      <c r="T56" t="s">
        <v>74</v>
      </c>
      <c r="U56" t="s">
        <v>74</v>
      </c>
      <c r="V56" t="s">
        <v>623</v>
      </c>
      <c r="W56" t="s">
        <v>74</v>
      </c>
      <c r="X56" t="s">
        <v>74</v>
      </c>
      <c r="Y56" t="s">
        <v>74</v>
      </c>
      <c r="Z56" t="s">
        <v>74</v>
      </c>
      <c r="AA56" t="s">
        <v>624</v>
      </c>
      <c r="AB56" t="s">
        <v>625</v>
      </c>
      <c r="AC56" t="s">
        <v>74</v>
      </c>
      <c r="AD56" t="s">
        <v>74</v>
      </c>
      <c r="AE56" t="s">
        <v>74</v>
      </c>
      <c r="AF56" t="s">
        <v>74</v>
      </c>
      <c r="AG56" t="s">
        <v>74</v>
      </c>
      <c r="AH56" t="s">
        <v>74</v>
      </c>
      <c r="AI56" t="s">
        <v>74</v>
      </c>
      <c r="AJ56" t="s">
        <v>74</v>
      </c>
      <c r="AK56" t="s">
        <v>74</v>
      </c>
      <c r="AL56" t="s">
        <v>74</v>
      </c>
      <c r="AM56" t="s">
        <v>74</v>
      </c>
      <c r="AN56" t="s">
        <v>74</v>
      </c>
      <c r="AO56" t="s">
        <v>454</v>
      </c>
      <c r="AP56" t="s">
        <v>455</v>
      </c>
      <c r="AQ56" t="s">
        <v>74</v>
      </c>
      <c r="AR56" t="s">
        <v>74</v>
      </c>
      <c r="AS56" t="s">
        <v>74</v>
      </c>
      <c r="AT56" t="s">
        <v>74</v>
      </c>
      <c r="AU56">
        <v>2022</v>
      </c>
      <c r="AV56">
        <v>19</v>
      </c>
      <c r="AW56" t="s">
        <v>74</v>
      </c>
      <c r="AX56" t="s">
        <v>74</v>
      </c>
      <c r="AY56" t="s">
        <v>74</v>
      </c>
      <c r="AZ56" t="s">
        <v>74</v>
      </c>
      <c r="BA56" t="s">
        <v>74</v>
      </c>
      <c r="BB56" t="s">
        <v>74</v>
      </c>
      <c r="BC56" t="s">
        <v>74</v>
      </c>
      <c r="BD56">
        <v>2001705</v>
      </c>
      <c r="BE56" t="s">
        <v>626</v>
      </c>
      <c r="BF56" t="str">
        <f>HYPERLINK("http://dx.doi.org/10.1109/LGRS.2022.3226204","http://dx.doi.org/10.1109/LGRS.2022.3226204")</f>
        <v>http://dx.doi.org/10.1109/LGRS.2022.3226204</v>
      </c>
      <c r="BG56" t="s">
        <v>74</v>
      </c>
      <c r="BH56" t="s">
        <v>74</v>
      </c>
      <c r="BI56" t="s">
        <v>74</v>
      </c>
      <c r="BJ56" t="s">
        <v>74</v>
      </c>
      <c r="BK56" t="s">
        <v>74</v>
      </c>
      <c r="BL56" t="s">
        <v>74</v>
      </c>
      <c r="BM56" t="s">
        <v>74</v>
      </c>
      <c r="BN56" t="s">
        <v>74</v>
      </c>
      <c r="BO56" t="s">
        <v>74</v>
      </c>
      <c r="BP56" t="s">
        <v>74</v>
      </c>
      <c r="BQ56" t="s">
        <v>74</v>
      </c>
      <c r="BR56" t="s">
        <v>74</v>
      </c>
      <c r="BS56" t="s">
        <v>627</v>
      </c>
      <c r="BT56" t="str">
        <f>HYPERLINK("https%3A%2F%2Fwww.webofscience.com%2Fwos%2Fwoscc%2Ffull-record%2FWOS:000902088700006","View Full Record in Web of Science")</f>
        <v>View Full Record in Web of Science</v>
      </c>
    </row>
    <row r="57" spans="1:72" x14ac:dyDescent="0.15">
      <c r="A57" t="s">
        <v>252</v>
      </c>
      <c r="B57" t="s">
        <v>628</v>
      </c>
      <c r="C57" t="s">
        <v>74</v>
      </c>
      <c r="D57" t="s">
        <v>629</v>
      </c>
      <c r="E57" t="s">
        <v>74</v>
      </c>
      <c r="F57" t="s">
        <v>630</v>
      </c>
      <c r="G57" t="s">
        <v>74</v>
      </c>
      <c r="H57" t="s">
        <v>74</v>
      </c>
      <c r="I57" t="s">
        <v>631</v>
      </c>
      <c r="J57" t="s">
        <v>632</v>
      </c>
      <c r="K57" t="s">
        <v>433</v>
      </c>
      <c r="L57" t="s">
        <v>74</v>
      </c>
      <c r="M57" t="s">
        <v>74</v>
      </c>
      <c r="N57" t="s">
        <v>74</v>
      </c>
      <c r="O57" t="s">
        <v>633</v>
      </c>
      <c r="P57" t="s">
        <v>634</v>
      </c>
      <c r="Q57" t="s">
        <v>635</v>
      </c>
      <c r="R57" t="s">
        <v>636</v>
      </c>
      <c r="S57" t="s">
        <v>74</v>
      </c>
      <c r="T57" t="s">
        <v>74</v>
      </c>
      <c r="U57" t="s">
        <v>74</v>
      </c>
      <c r="V57" t="s">
        <v>637</v>
      </c>
      <c r="W57" t="s">
        <v>74</v>
      </c>
      <c r="X57" t="s">
        <v>74</v>
      </c>
      <c r="Y57" t="s">
        <v>74</v>
      </c>
      <c r="Z57" t="s">
        <v>74</v>
      </c>
      <c r="AA57" t="s">
        <v>74</v>
      </c>
      <c r="AB57" t="s">
        <v>74</v>
      </c>
      <c r="AC57" t="s">
        <v>74</v>
      </c>
      <c r="AD57" t="s">
        <v>74</v>
      </c>
      <c r="AE57" t="s">
        <v>74</v>
      </c>
      <c r="AF57" t="s">
        <v>74</v>
      </c>
      <c r="AG57" t="s">
        <v>74</v>
      </c>
      <c r="AH57" t="s">
        <v>74</v>
      </c>
      <c r="AI57" t="s">
        <v>74</v>
      </c>
      <c r="AJ57" t="s">
        <v>74</v>
      </c>
      <c r="AK57" t="s">
        <v>74</v>
      </c>
      <c r="AL57" t="s">
        <v>74</v>
      </c>
      <c r="AM57" t="s">
        <v>74</v>
      </c>
      <c r="AN57" t="s">
        <v>74</v>
      </c>
      <c r="AO57" t="s">
        <v>441</v>
      </c>
      <c r="AP57" t="s">
        <v>442</v>
      </c>
      <c r="AQ57" t="s">
        <v>638</v>
      </c>
      <c r="AR57" t="s">
        <v>74</v>
      </c>
      <c r="AS57" t="s">
        <v>74</v>
      </c>
      <c r="AT57" t="s">
        <v>74</v>
      </c>
      <c r="AU57">
        <v>2022</v>
      </c>
      <c r="AV57">
        <v>12232</v>
      </c>
      <c r="AW57" t="s">
        <v>74</v>
      </c>
      <c r="AX57" t="s">
        <v>74</v>
      </c>
      <c r="AY57" t="s">
        <v>74</v>
      </c>
      <c r="AZ57" t="s">
        <v>74</v>
      </c>
      <c r="BA57" t="s">
        <v>74</v>
      </c>
      <c r="BB57" t="s">
        <v>74</v>
      </c>
      <c r="BC57" t="s">
        <v>74</v>
      </c>
      <c r="BD57" t="s">
        <v>639</v>
      </c>
      <c r="BE57" t="s">
        <v>640</v>
      </c>
      <c r="BF57" t="str">
        <f>HYPERLINK("http://dx.doi.org/10.1117/12.2631482","http://dx.doi.org/10.1117/12.2631482")</f>
        <v>http://dx.doi.org/10.1117/12.2631482</v>
      </c>
      <c r="BG57" t="s">
        <v>74</v>
      </c>
      <c r="BH57" t="s">
        <v>74</v>
      </c>
      <c r="BI57" t="s">
        <v>74</v>
      </c>
      <c r="BJ57" t="s">
        <v>74</v>
      </c>
      <c r="BK57" t="s">
        <v>74</v>
      </c>
      <c r="BL57" t="s">
        <v>74</v>
      </c>
      <c r="BM57" t="s">
        <v>74</v>
      </c>
      <c r="BN57" t="s">
        <v>74</v>
      </c>
      <c r="BO57" t="s">
        <v>74</v>
      </c>
      <c r="BP57" t="s">
        <v>74</v>
      </c>
      <c r="BQ57" t="s">
        <v>74</v>
      </c>
      <c r="BR57" t="s">
        <v>74</v>
      </c>
      <c r="BS57" t="s">
        <v>641</v>
      </c>
      <c r="BT57" t="str">
        <f>HYPERLINK("https%3A%2F%2Fwww.webofscience.com%2Fwos%2Fwoscc%2Ffull-record%2FWOS:000882951300043","View Full Record in Web of Science")</f>
        <v>View Full Record in Web of Science</v>
      </c>
    </row>
    <row r="58" spans="1:72" x14ac:dyDescent="0.15">
      <c r="A58" t="s">
        <v>72</v>
      </c>
      <c r="B58" t="s">
        <v>642</v>
      </c>
      <c r="C58" t="s">
        <v>74</v>
      </c>
      <c r="D58" t="s">
        <v>74</v>
      </c>
      <c r="E58" t="s">
        <v>74</v>
      </c>
      <c r="F58" t="s">
        <v>643</v>
      </c>
      <c r="G58" t="s">
        <v>74</v>
      </c>
      <c r="H58" t="s">
        <v>74</v>
      </c>
      <c r="I58" t="s">
        <v>644</v>
      </c>
      <c r="J58" t="s">
        <v>450</v>
      </c>
      <c r="K58" t="s">
        <v>74</v>
      </c>
      <c r="L58" t="s">
        <v>74</v>
      </c>
      <c r="M58" t="s">
        <v>74</v>
      </c>
      <c r="N58" t="s">
        <v>74</v>
      </c>
      <c r="O58" t="s">
        <v>74</v>
      </c>
      <c r="P58" t="s">
        <v>74</v>
      </c>
      <c r="Q58" t="s">
        <v>74</v>
      </c>
      <c r="R58" t="s">
        <v>74</v>
      </c>
      <c r="S58" t="s">
        <v>74</v>
      </c>
      <c r="T58" t="s">
        <v>74</v>
      </c>
      <c r="U58" t="s">
        <v>74</v>
      </c>
      <c r="V58" t="s">
        <v>645</v>
      </c>
      <c r="W58" t="s">
        <v>74</v>
      </c>
      <c r="X58" t="s">
        <v>74</v>
      </c>
      <c r="Y58" t="s">
        <v>74</v>
      </c>
      <c r="Z58" t="s">
        <v>74</v>
      </c>
      <c r="AA58" t="s">
        <v>616</v>
      </c>
      <c r="AB58" t="s">
        <v>646</v>
      </c>
      <c r="AC58" t="s">
        <v>74</v>
      </c>
      <c r="AD58" t="s">
        <v>74</v>
      </c>
      <c r="AE58" t="s">
        <v>74</v>
      </c>
      <c r="AF58" t="s">
        <v>74</v>
      </c>
      <c r="AG58" t="s">
        <v>74</v>
      </c>
      <c r="AH58" t="s">
        <v>74</v>
      </c>
      <c r="AI58" t="s">
        <v>74</v>
      </c>
      <c r="AJ58" t="s">
        <v>74</v>
      </c>
      <c r="AK58" t="s">
        <v>74</v>
      </c>
      <c r="AL58" t="s">
        <v>74</v>
      </c>
      <c r="AM58" t="s">
        <v>74</v>
      </c>
      <c r="AN58" t="s">
        <v>74</v>
      </c>
      <c r="AO58" t="s">
        <v>454</v>
      </c>
      <c r="AP58" t="s">
        <v>455</v>
      </c>
      <c r="AQ58" t="s">
        <v>74</v>
      </c>
      <c r="AR58" t="s">
        <v>74</v>
      </c>
      <c r="AS58" t="s">
        <v>74</v>
      </c>
      <c r="AT58" t="s">
        <v>74</v>
      </c>
      <c r="AU58">
        <v>2022</v>
      </c>
      <c r="AV58">
        <v>19</v>
      </c>
      <c r="AW58" t="s">
        <v>74</v>
      </c>
      <c r="AX58" t="s">
        <v>74</v>
      </c>
      <c r="AY58" t="s">
        <v>74</v>
      </c>
      <c r="AZ58" t="s">
        <v>74</v>
      </c>
      <c r="BA58" t="s">
        <v>74</v>
      </c>
      <c r="BB58" t="s">
        <v>74</v>
      </c>
      <c r="BC58" t="s">
        <v>74</v>
      </c>
      <c r="BD58">
        <v>4502405</v>
      </c>
      <c r="BE58" t="s">
        <v>647</v>
      </c>
      <c r="BF58" t="str">
        <f>HYPERLINK("http://dx.doi.org/10.1109/LGRS.2021.3129998","http://dx.doi.org/10.1109/LGRS.2021.3129998")</f>
        <v>http://dx.doi.org/10.1109/LGRS.2021.3129998</v>
      </c>
      <c r="BG58" t="s">
        <v>74</v>
      </c>
      <c r="BH58" t="s">
        <v>74</v>
      </c>
      <c r="BI58" t="s">
        <v>74</v>
      </c>
      <c r="BJ58" t="s">
        <v>74</v>
      </c>
      <c r="BK58" t="s">
        <v>74</v>
      </c>
      <c r="BL58" t="s">
        <v>74</v>
      </c>
      <c r="BM58" t="s">
        <v>74</v>
      </c>
      <c r="BN58" t="s">
        <v>74</v>
      </c>
      <c r="BO58" t="s">
        <v>74</v>
      </c>
      <c r="BP58" t="s">
        <v>74</v>
      </c>
      <c r="BQ58" t="s">
        <v>74</v>
      </c>
      <c r="BR58" t="s">
        <v>74</v>
      </c>
      <c r="BS58" t="s">
        <v>648</v>
      </c>
      <c r="BT58" t="str">
        <f>HYPERLINK("https%3A%2F%2Fwww.webofscience.com%2Fwos%2Fwoscc%2Ffull-record%2FWOS:000742225800068","View Full Record in Web of Science")</f>
        <v>View Full Record in Web of Science</v>
      </c>
    </row>
    <row r="59" spans="1:72" x14ac:dyDescent="0.15">
      <c r="A59" t="s">
        <v>72</v>
      </c>
      <c r="B59" t="s">
        <v>649</v>
      </c>
      <c r="C59" t="s">
        <v>74</v>
      </c>
      <c r="D59" t="s">
        <v>74</v>
      </c>
      <c r="E59" t="s">
        <v>74</v>
      </c>
      <c r="F59" t="s">
        <v>650</v>
      </c>
      <c r="G59" t="s">
        <v>74</v>
      </c>
      <c r="H59" t="s">
        <v>74</v>
      </c>
      <c r="I59" t="s">
        <v>651</v>
      </c>
      <c r="J59" t="s">
        <v>122</v>
      </c>
      <c r="K59" t="s">
        <v>74</v>
      </c>
      <c r="L59" t="s">
        <v>74</v>
      </c>
      <c r="M59" t="s">
        <v>74</v>
      </c>
      <c r="N59" t="s">
        <v>74</v>
      </c>
      <c r="O59" t="s">
        <v>74</v>
      </c>
      <c r="P59" t="s">
        <v>74</v>
      </c>
      <c r="Q59" t="s">
        <v>74</v>
      </c>
      <c r="R59" t="s">
        <v>74</v>
      </c>
      <c r="S59" t="s">
        <v>74</v>
      </c>
      <c r="T59" t="s">
        <v>74</v>
      </c>
      <c r="U59" t="s">
        <v>74</v>
      </c>
      <c r="V59" t="s">
        <v>652</v>
      </c>
      <c r="W59" t="s">
        <v>74</v>
      </c>
      <c r="X59" t="s">
        <v>74</v>
      </c>
      <c r="Y59" t="s">
        <v>74</v>
      </c>
      <c r="Z59" t="s">
        <v>74</v>
      </c>
      <c r="AA59" t="s">
        <v>653</v>
      </c>
      <c r="AB59" t="s">
        <v>654</v>
      </c>
      <c r="AC59" t="s">
        <v>74</v>
      </c>
      <c r="AD59" t="s">
        <v>74</v>
      </c>
      <c r="AE59" t="s">
        <v>74</v>
      </c>
      <c r="AF59" t="s">
        <v>74</v>
      </c>
      <c r="AG59" t="s">
        <v>74</v>
      </c>
      <c r="AH59" t="s">
        <v>74</v>
      </c>
      <c r="AI59" t="s">
        <v>74</v>
      </c>
      <c r="AJ59" t="s">
        <v>74</v>
      </c>
      <c r="AK59" t="s">
        <v>74</v>
      </c>
      <c r="AL59" t="s">
        <v>74</v>
      </c>
      <c r="AM59" t="s">
        <v>74</v>
      </c>
      <c r="AN59" t="s">
        <v>74</v>
      </c>
      <c r="AO59" t="s">
        <v>126</v>
      </c>
      <c r="AP59" t="s">
        <v>127</v>
      </c>
      <c r="AQ59" t="s">
        <v>74</v>
      </c>
      <c r="AR59" t="s">
        <v>74</v>
      </c>
      <c r="AS59" t="s">
        <v>74</v>
      </c>
      <c r="AT59" t="s">
        <v>464</v>
      </c>
      <c r="AU59">
        <v>2021</v>
      </c>
      <c r="AV59">
        <v>264</v>
      </c>
      <c r="AW59" t="s">
        <v>74</v>
      </c>
      <c r="AX59" t="s">
        <v>74</v>
      </c>
      <c r="AY59" t="s">
        <v>74</v>
      </c>
      <c r="AZ59" t="s">
        <v>74</v>
      </c>
      <c r="BA59" t="s">
        <v>74</v>
      </c>
      <c r="BB59" t="s">
        <v>74</v>
      </c>
      <c r="BC59" t="s">
        <v>74</v>
      </c>
      <c r="BD59">
        <v>112630</v>
      </c>
      <c r="BE59" t="s">
        <v>655</v>
      </c>
      <c r="BF59" t="str">
        <f>HYPERLINK("http://dx.doi.org/10.1016/j.rse.2021.112630","http://dx.doi.org/10.1016/j.rse.2021.112630")</f>
        <v>http://dx.doi.org/10.1016/j.rse.2021.112630</v>
      </c>
      <c r="BG59" t="s">
        <v>74</v>
      </c>
      <c r="BH59" t="s">
        <v>656</v>
      </c>
      <c r="BI59" t="s">
        <v>74</v>
      </c>
      <c r="BJ59" t="s">
        <v>74</v>
      </c>
      <c r="BK59" t="s">
        <v>74</v>
      </c>
      <c r="BL59" t="s">
        <v>74</v>
      </c>
      <c r="BM59" t="s">
        <v>74</v>
      </c>
      <c r="BN59" t="s">
        <v>74</v>
      </c>
      <c r="BO59" t="s">
        <v>74</v>
      </c>
      <c r="BP59" t="s">
        <v>74</v>
      </c>
      <c r="BQ59" t="s">
        <v>74</v>
      </c>
      <c r="BR59" t="s">
        <v>74</v>
      </c>
      <c r="BS59" t="s">
        <v>657</v>
      </c>
      <c r="BT59" t="str">
        <f>HYPERLINK("https%3A%2F%2Fwww.webofscience.com%2Fwos%2Fwoscc%2Ffull-record%2FWOS:000688490900003","View Full Record in Web of Science")</f>
        <v>View Full Record in Web of Science</v>
      </c>
    </row>
    <row r="60" spans="1:72" x14ac:dyDescent="0.15">
      <c r="A60" t="s">
        <v>72</v>
      </c>
      <c r="B60" t="s">
        <v>658</v>
      </c>
      <c r="C60" t="s">
        <v>74</v>
      </c>
      <c r="D60" t="s">
        <v>74</v>
      </c>
      <c r="E60" t="s">
        <v>74</v>
      </c>
      <c r="F60" t="s">
        <v>659</v>
      </c>
      <c r="G60" t="s">
        <v>74</v>
      </c>
      <c r="H60" t="s">
        <v>74</v>
      </c>
      <c r="I60" t="s">
        <v>660</v>
      </c>
      <c r="J60" t="s">
        <v>661</v>
      </c>
      <c r="K60" t="s">
        <v>74</v>
      </c>
      <c r="L60" t="s">
        <v>74</v>
      </c>
      <c r="M60" t="s">
        <v>74</v>
      </c>
      <c r="N60" t="s">
        <v>74</v>
      </c>
      <c r="O60" t="s">
        <v>74</v>
      </c>
      <c r="P60" t="s">
        <v>74</v>
      </c>
      <c r="Q60" t="s">
        <v>74</v>
      </c>
      <c r="R60" t="s">
        <v>74</v>
      </c>
      <c r="S60" t="s">
        <v>74</v>
      </c>
      <c r="T60" t="s">
        <v>74</v>
      </c>
      <c r="U60" t="s">
        <v>74</v>
      </c>
      <c r="V60" t="s">
        <v>662</v>
      </c>
      <c r="W60" t="s">
        <v>74</v>
      </c>
      <c r="X60" t="s">
        <v>74</v>
      </c>
      <c r="Y60" t="s">
        <v>74</v>
      </c>
      <c r="Z60" t="s">
        <v>74</v>
      </c>
      <c r="AA60" t="s">
        <v>663</v>
      </c>
      <c r="AB60" t="s">
        <v>664</v>
      </c>
      <c r="AC60" t="s">
        <v>74</v>
      </c>
      <c r="AD60" t="s">
        <v>74</v>
      </c>
      <c r="AE60" t="s">
        <v>74</v>
      </c>
      <c r="AF60" t="s">
        <v>74</v>
      </c>
      <c r="AG60" t="s">
        <v>74</v>
      </c>
      <c r="AH60" t="s">
        <v>74</v>
      </c>
      <c r="AI60" t="s">
        <v>74</v>
      </c>
      <c r="AJ60" t="s">
        <v>74</v>
      </c>
      <c r="AK60" t="s">
        <v>74</v>
      </c>
      <c r="AL60" t="s">
        <v>74</v>
      </c>
      <c r="AM60" t="s">
        <v>74</v>
      </c>
      <c r="AN60" t="s">
        <v>74</v>
      </c>
      <c r="AO60" t="s">
        <v>665</v>
      </c>
      <c r="AP60" t="s">
        <v>74</v>
      </c>
      <c r="AQ60" t="s">
        <v>74</v>
      </c>
      <c r="AR60" t="s">
        <v>74</v>
      </c>
      <c r="AS60" t="s">
        <v>74</v>
      </c>
      <c r="AT60" t="s">
        <v>666</v>
      </c>
      <c r="AU60">
        <v>2021</v>
      </c>
      <c r="AV60">
        <v>16</v>
      </c>
      <c r="AW60">
        <v>8</v>
      </c>
      <c r="AX60" t="s">
        <v>74</v>
      </c>
      <c r="AY60" t="s">
        <v>74</v>
      </c>
      <c r="AZ60" t="s">
        <v>74</v>
      </c>
      <c r="BA60" t="s">
        <v>74</v>
      </c>
      <c r="BB60" t="s">
        <v>74</v>
      </c>
      <c r="BC60" t="s">
        <v>74</v>
      </c>
      <c r="BD60">
        <v>84007</v>
      </c>
      <c r="BE60" t="s">
        <v>667</v>
      </c>
      <c r="BF60" t="str">
        <f>HYPERLINK("http://dx.doi.org/10.1088/1748-9326/abfe8d","http://dx.doi.org/10.1088/1748-9326/abfe8d")</f>
        <v>http://dx.doi.org/10.1088/1748-9326/abfe8d</v>
      </c>
      <c r="BG60" t="s">
        <v>74</v>
      </c>
      <c r="BH60" t="s">
        <v>74</v>
      </c>
      <c r="BI60" t="s">
        <v>74</v>
      </c>
      <c r="BJ60" t="s">
        <v>74</v>
      </c>
      <c r="BK60" t="s">
        <v>74</v>
      </c>
      <c r="BL60" t="s">
        <v>74</v>
      </c>
      <c r="BM60" t="s">
        <v>74</v>
      </c>
      <c r="BN60" t="s">
        <v>74</v>
      </c>
      <c r="BO60" t="s">
        <v>74</v>
      </c>
      <c r="BP60" t="s">
        <v>74</v>
      </c>
      <c r="BQ60" t="s">
        <v>74</v>
      </c>
      <c r="BR60" t="s">
        <v>74</v>
      </c>
      <c r="BS60" t="s">
        <v>668</v>
      </c>
      <c r="BT60" t="str">
        <f>HYPERLINK("https%3A%2F%2Fwww.webofscience.com%2Fwos%2Fwoscc%2Ffull-record%2FWOS:000678345800001","View Full Record in Web of Science")</f>
        <v>View Full Record in Web of Science</v>
      </c>
    </row>
    <row r="61" spans="1:72" x14ac:dyDescent="0.15">
      <c r="A61" t="s">
        <v>72</v>
      </c>
      <c r="B61" t="s">
        <v>669</v>
      </c>
      <c r="C61" t="s">
        <v>74</v>
      </c>
      <c r="D61" t="s">
        <v>74</v>
      </c>
      <c r="E61" t="s">
        <v>74</v>
      </c>
      <c r="F61" t="s">
        <v>670</v>
      </c>
      <c r="G61" t="s">
        <v>74</v>
      </c>
      <c r="H61" t="s">
        <v>74</v>
      </c>
      <c r="I61" t="s">
        <v>671</v>
      </c>
      <c r="J61" t="s">
        <v>122</v>
      </c>
      <c r="K61" t="s">
        <v>74</v>
      </c>
      <c r="L61" t="s">
        <v>74</v>
      </c>
      <c r="M61" t="s">
        <v>74</v>
      </c>
      <c r="N61" t="s">
        <v>74</v>
      </c>
      <c r="O61" t="s">
        <v>74</v>
      </c>
      <c r="P61" t="s">
        <v>74</v>
      </c>
      <c r="Q61" t="s">
        <v>74</v>
      </c>
      <c r="R61" t="s">
        <v>74</v>
      </c>
      <c r="S61" t="s">
        <v>74</v>
      </c>
      <c r="T61" t="s">
        <v>74</v>
      </c>
      <c r="U61" t="s">
        <v>74</v>
      </c>
      <c r="V61" t="s">
        <v>672</v>
      </c>
      <c r="W61" t="s">
        <v>74</v>
      </c>
      <c r="X61" t="s">
        <v>74</v>
      </c>
      <c r="Y61" t="s">
        <v>74</v>
      </c>
      <c r="Z61" t="s">
        <v>74</v>
      </c>
      <c r="AA61" t="s">
        <v>673</v>
      </c>
      <c r="AB61" t="s">
        <v>674</v>
      </c>
      <c r="AC61" t="s">
        <v>74</v>
      </c>
      <c r="AD61" t="s">
        <v>74</v>
      </c>
      <c r="AE61" t="s">
        <v>74</v>
      </c>
      <c r="AF61" t="s">
        <v>74</v>
      </c>
      <c r="AG61" t="s">
        <v>74</v>
      </c>
      <c r="AH61" t="s">
        <v>74</v>
      </c>
      <c r="AI61" t="s">
        <v>74</v>
      </c>
      <c r="AJ61" t="s">
        <v>74</v>
      </c>
      <c r="AK61" t="s">
        <v>74</v>
      </c>
      <c r="AL61" t="s">
        <v>74</v>
      </c>
      <c r="AM61" t="s">
        <v>74</v>
      </c>
      <c r="AN61" t="s">
        <v>74</v>
      </c>
      <c r="AO61" t="s">
        <v>126</v>
      </c>
      <c r="AP61" t="s">
        <v>127</v>
      </c>
      <c r="AQ61" t="s">
        <v>74</v>
      </c>
      <c r="AR61" t="s">
        <v>74</v>
      </c>
      <c r="AS61" t="s">
        <v>74</v>
      </c>
      <c r="AT61" t="s">
        <v>675</v>
      </c>
      <c r="AU61">
        <v>2021</v>
      </c>
      <c r="AV61">
        <v>258</v>
      </c>
      <c r="AW61" t="s">
        <v>74</v>
      </c>
      <c r="AX61" t="s">
        <v>74</v>
      </c>
      <c r="AY61" t="s">
        <v>74</v>
      </c>
      <c r="AZ61" t="s">
        <v>74</v>
      </c>
      <c r="BA61" t="s">
        <v>74</v>
      </c>
      <c r="BB61" t="s">
        <v>74</v>
      </c>
      <c r="BC61" t="s">
        <v>74</v>
      </c>
      <c r="BD61">
        <v>112399</v>
      </c>
      <c r="BE61" t="s">
        <v>676</v>
      </c>
      <c r="BF61" t="str">
        <f>HYPERLINK("http://dx.doi.org/10.1016/j.rse.2021.112399","http://dx.doi.org/10.1016/j.rse.2021.112399")</f>
        <v>http://dx.doi.org/10.1016/j.rse.2021.112399</v>
      </c>
      <c r="BG61" t="s">
        <v>74</v>
      </c>
      <c r="BH61" t="s">
        <v>677</v>
      </c>
      <c r="BI61" t="s">
        <v>74</v>
      </c>
      <c r="BJ61" t="s">
        <v>74</v>
      </c>
      <c r="BK61" t="s">
        <v>74</v>
      </c>
      <c r="BL61" t="s">
        <v>74</v>
      </c>
      <c r="BM61" t="s">
        <v>74</v>
      </c>
      <c r="BN61" t="s">
        <v>74</v>
      </c>
      <c r="BO61" t="s">
        <v>74</v>
      </c>
      <c r="BP61" t="s">
        <v>74</v>
      </c>
      <c r="BQ61" t="s">
        <v>74</v>
      </c>
      <c r="BR61" t="s">
        <v>74</v>
      </c>
      <c r="BS61" t="s">
        <v>678</v>
      </c>
      <c r="BT61" t="str">
        <f>HYPERLINK("https%3A%2F%2Fwww.webofscience.com%2Fwos%2Fwoscc%2Ffull-record%2FWOS:000637767400001","View Full Record in Web of Science")</f>
        <v>View Full Record in Web of Science</v>
      </c>
    </row>
    <row r="62" spans="1:72" x14ac:dyDescent="0.15">
      <c r="A62" t="s">
        <v>72</v>
      </c>
      <c r="B62" t="s">
        <v>679</v>
      </c>
      <c r="C62" t="s">
        <v>74</v>
      </c>
      <c r="D62" t="s">
        <v>74</v>
      </c>
      <c r="E62" t="s">
        <v>74</v>
      </c>
      <c r="F62" t="s">
        <v>680</v>
      </c>
      <c r="G62" t="s">
        <v>74</v>
      </c>
      <c r="H62" t="s">
        <v>74</v>
      </c>
      <c r="I62" t="s">
        <v>681</v>
      </c>
      <c r="J62" t="s">
        <v>122</v>
      </c>
      <c r="K62" t="s">
        <v>74</v>
      </c>
      <c r="L62" t="s">
        <v>74</v>
      </c>
      <c r="M62" t="s">
        <v>74</v>
      </c>
      <c r="N62" t="s">
        <v>74</v>
      </c>
      <c r="O62" t="s">
        <v>74</v>
      </c>
      <c r="P62" t="s">
        <v>74</v>
      </c>
      <c r="Q62" t="s">
        <v>74</v>
      </c>
      <c r="R62" t="s">
        <v>74</v>
      </c>
      <c r="S62" t="s">
        <v>74</v>
      </c>
      <c r="T62" t="s">
        <v>74</v>
      </c>
      <c r="U62" t="s">
        <v>74</v>
      </c>
      <c r="V62" t="s">
        <v>682</v>
      </c>
      <c r="W62" t="s">
        <v>74</v>
      </c>
      <c r="X62" t="s">
        <v>74</v>
      </c>
      <c r="Y62" t="s">
        <v>74</v>
      </c>
      <c r="Z62" t="s">
        <v>74</v>
      </c>
      <c r="AA62" t="s">
        <v>683</v>
      </c>
      <c r="AB62" t="s">
        <v>684</v>
      </c>
      <c r="AC62" t="s">
        <v>74</v>
      </c>
      <c r="AD62" t="s">
        <v>74</v>
      </c>
      <c r="AE62" t="s">
        <v>74</v>
      </c>
      <c r="AF62" t="s">
        <v>74</v>
      </c>
      <c r="AG62" t="s">
        <v>74</v>
      </c>
      <c r="AH62" t="s">
        <v>74</v>
      </c>
      <c r="AI62" t="s">
        <v>74</v>
      </c>
      <c r="AJ62" t="s">
        <v>74</v>
      </c>
      <c r="AK62" t="s">
        <v>74</v>
      </c>
      <c r="AL62" t="s">
        <v>74</v>
      </c>
      <c r="AM62" t="s">
        <v>74</v>
      </c>
      <c r="AN62" t="s">
        <v>74</v>
      </c>
      <c r="AO62" t="s">
        <v>126</v>
      </c>
      <c r="AP62" t="s">
        <v>127</v>
      </c>
      <c r="AQ62" t="s">
        <v>74</v>
      </c>
      <c r="AR62" t="s">
        <v>74</v>
      </c>
      <c r="AS62" t="s">
        <v>74</v>
      </c>
      <c r="AT62" t="s">
        <v>685</v>
      </c>
      <c r="AU62">
        <v>2021</v>
      </c>
      <c r="AV62">
        <v>255</v>
      </c>
      <c r="AW62" t="s">
        <v>74</v>
      </c>
      <c r="AX62" t="s">
        <v>74</v>
      </c>
      <c r="AY62" t="s">
        <v>74</v>
      </c>
      <c r="AZ62" t="s">
        <v>74</v>
      </c>
      <c r="BA62" t="s">
        <v>74</v>
      </c>
      <c r="BB62" t="s">
        <v>74</v>
      </c>
      <c r="BC62" t="s">
        <v>74</v>
      </c>
      <c r="BD62">
        <v>112294</v>
      </c>
      <c r="BE62" t="s">
        <v>686</v>
      </c>
      <c r="BF62" t="str">
        <f>HYPERLINK("http://dx.doi.org/10.1016/j.rse.2021.112294","http://dx.doi.org/10.1016/j.rse.2021.112294")</f>
        <v>http://dx.doi.org/10.1016/j.rse.2021.112294</v>
      </c>
      <c r="BG62" t="s">
        <v>74</v>
      </c>
      <c r="BH62" t="s">
        <v>687</v>
      </c>
      <c r="BI62" t="s">
        <v>74</v>
      </c>
      <c r="BJ62" t="s">
        <v>74</v>
      </c>
      <c r="BK62" t="s">
        <v>74</v>
      </c>
      <c r="BL62" t="s">
        <v>74</v>
      </c>
      <c r="BM62" t="s">
        <v>74</v>
      </c>
      <c r="BN62" t="s">
        <v>74</v>
      </c>
      <c r="BO62" t="s">
        <v>74</v>
      </c>
      <c r="BP62" t="s">
        <v>74</v>
      </c>
      <c r="BQ62" t="s">
        <v>74</v>
      </c>
      <c r="BR62" t="s">
        <v>74</v>
      </c>
      <c r="BS62" t="s">
        <v>688</v>
      </c>
      <c r="BT62" t="str">
        <f>HYPERLINK("https%3A%2F%2Fwww.webofscience.com%2Fwos%2Fwoscc%2Ffull-record%2FWOS:000619233500003","View Full Record in Web of Science")</f>
        <v>View Full Record in Web of Science</v>
      </c>
    </row>
    <row r="63" spans="1:72" x14ac:dyDescent="0.15">
      <c r="A63" t="s">
        <v>252</v>
      </c>
      <c r="B63" t="s">
        <v>689</v>
      </c>
      <c r="C63" t="s">
        <v>74</v>
      </c>
      <c r="D63" t="s">
        <v>74</v>
      </c>
      <c r="E63" t="s">
        <v>254</v>
      </c>
      <c r="F63" t="s">
        <v>690</v>
      </c>
      <c r="G63" t="s">
        <v>74</v>
      </c>
      <c r="H63" t="s">
        <v>74</v>
      </c>
      <c r="I63" t="s">
        <v>691</v>
      </c>
      <c r="J63" t="s">
        <v>692</v>
      </c>
      <c r="K63" t="s">
        <v>258</v>
      </c>
      <c r="L63" t="s">
        <v>74</v>
      </c>
      <c r="M63" t="s">
        <v>74</v>
      </c>
      <c r="N63" t="s">
        <v>74</v>
      </c>
      <c r="O63" t="s">
        <v>388</v>
      </c>
      <c r="P63" t="s">
        <v>693</v>
      </c>
      <c r="Q63" t="s">
        <v>694</v>
      </c>
      <c r="R63" t="s">
        <v>695</v>
      </c>
      <c r="S63" t="s">
        <v>74</v>
      </c>
      <c r="T63" t="s">
        <v>74</v>
      </c>
      <c r="U63" t="s">
        <v>74</v>
      </c>
      <c r="V63" t="s">
        <v>696</v>
      </c>
      <c r="W63" t="s">
        <v>74</v>
      </c>
      <c r="X63" t="s">
        <v>74</v>
      </c>
      <c r="Y63" t="s">
        <v>74</v>
      </c>
      <c r="Z63" t="s">
        <v>74</v>
      </c>
      <c r="AA63" t="s">
        <v>74</v>
      </c>
      <c r="AB63" t="s">
        <v>74</v>
      </c>
      <c r="AC63" t="s">
        <v>74</v>
      </c>
      <c r="AD63" t="s">
        <v>74</v>
      </c>
      <c r="AE63" t="s">
        <v>74</v>
      </c>
      <c r="AF63" t="s">
        <v>74</v>
      </c>
      <c r="AG63" t="s">
        <v>74</v>
      </c>
      <c r="AH63" t="s">
        <v>74</v>
      </c>
      <c r="AI63" t="s">
        <v>74</v>
      </c>
      <c r="AJ63" t="s">
        <v>74</v>
      </c>
      <c r="AK63" t="s">
        <v>74</v>
      </c>
      <c r="AL63" t="s">
        <v>74</v>
      </c>
      <c r="AM63" t="s">
        <v>74</v>
      </c>
      <c r="AN63" t="s">
        <v>74</v>
      </c>
      <c r="AO63" t="s">
        <v>265</v>
      </c>
      <c r="AP63" t="s">
        <v>74</v>
      </c>
      <c r="AQ63" t="s">
        <v>697</v>
      </c>
      <c r="AR63" t="s">
        <v>74</v>
      </c>
      <c r="AS63" t="s">
        <v>74</v>
      </c>
      <c r="AT63" t="s">
        <v>74</v>
      </c>
      <c r="AU63">
        <v>2021</v>
      </c>
      <c r="AV63" t="s">
        <v>74</v>
      </c>
      <c r="AW63" t="s">
        <v>74</v>
      </c>
      <c r="AX63" t="s">
        <v>74</v>
      </c>
      <c r="AY63" t="s">
        <v>74</v>
      </c>
      <c r="AZ63" t="s">
        <v>74</v>
      </c>
      <c r="BA63" t="s">
        <v>74</v>
      </c>
      <c r="BB63">
        <v>5578</v>
      </c>
      <c r="BC63">
        <v>5581</v>
      </c>
      <c r="BD63" t="s">
        <v>74</v>
      </c>
      <c r="BE63" t="s">
        <v>698</v>
      </c>
      <c r="BF63" t="str">
        <f>HYPERLINK("http://dx.doi.org/10.1109/IGARSS47720.2021.9554675","http://dx.doi.org/10.1109/IGARSS47720.2021.9554675")</f>
        <v>http://dx.doi.org/10.1109/IGARSS47720.2021.9554675</v>
      </c>
      <c r="BG63" t="s">
        <v>74</v>
      </c>
      <c r="BH63" t="s">
        <v>74</v>
      </c>
      <c r="BI63" t="s">
        <v>74</v>
      </c>
      <c r="BJ63" t="s">
        <v>74</v>
      </c>
      <c r="BK63" t="s">
        <v>74</v>
      </c>
      <c r="BL63" t="s">
        <v>74</v>
      </c>
      <c r="BM63" t="s">
        <v>74</v>
      </c>
      <c r="BN63" t="s">
        <v>74</v>
      </c>
      <c r="BO63" t="s">
        <v>74</v>
      </c>
      <c r="BP63" t="s">
        <v>74</v>
      </c>
      <c r="BQ63" t="s">
        <v>74</v>
      </c>
      <c r="BR63" t="s">
        <v>74</v>
      </c>
      <c r="BS63" t="s">
        <v>699</v>
      </c>
      <c r="BT63" t="str">
        <f>HYPERLINK("https%3A%2F%2Fwww.webofscience.com%2Fwos%2Fwoscc%2Ffull-record%2FWOS:001250139805188","View Full Record in Web of Science")</f>
        <v>View Full Record in Web of Science</v>
      </c>
    </row>
    <row r="64" spans="1:72" x14ac:dyDescent="0.15">
      <c r="A64" t="s">
        <v>252</v>
      </c>
      <c r="B64" t="s">
        <v>700</v>
      </c>
      <c r="C64" t="s">
        <v>74</v>
      </c>
      <c r="D64" t="s">
        <v>74</v>
      </c>
      <c r="E64" t="s">
        <v>254</v>
      </c>
      <c r="F64" t="s">
        <v>701</v>
      </c>
      <c r="G64" t="s">
        <v>74</v>
      </c>
      <c r="H64" t="s">
        <v>74</v>
      </c>
      <c r="I64" t="s">
        <v>702</v>
      </c>
      <c r="J64" t="s">
        <v>692</v>
      </c>
      <c r="K64" t="s">
        <v>258</v>
      </c>
      <c r="L64" t="s">
        <v>74</v>
      </c>
      <c r="M64" t="s">
        <v>74</v>
      </c>
      <c r="N64" t="s">
        <v>74</v>
      </c>
      <c r="O64" t="s">
        <v>388</v>
      </c>
      <c r="P64" t="s">
        <v>693</v>
      </c>
      <c r="Q64" t="s">
        <v>694</v>
      </c>
      <c r="R64" t="s">
        <v>695</v>
      </c>
      <c r="S64" t="s">
        <v>74</v>
      </c>
      <c r="T64" t="s">
        <v>74</v>
      </c>
      <c r="U64" t="s">
        <v>74</v>
      </c>
      <c r="V64" t="s">
        <v>703</v>
      </c>
      <c r="W64" t="s">
        <v>74</v>
      </c>
      <c r="X64" t="s">
        <v>74</v>
      </c>
      <c r="Y64" t="s">
        <v>74</v>
      </c>
      <c r="Z64" t="s">
        <v>74</v>
      </c>
      <c r="AA64" t="s">
        <v>74</v>
      </c>
      <c r="AB64" t="s">
        <v>704</v>
      </c>
      <c r="AC64" t="s">
        <v>74</v>
      </c>
      <c r="AD64" t="s">
        <v>74</v>
      </c>
      <c r="AE64" t="s">
        <v>74</v>
      </c>
      <c r="AF64" t="s">
        <v>74</v>
      </c>
      <c r="AG64" t="s">
        <v>74</v>
      </c>
      <c r="AH64" t="s">
        <v>74</v>
      </c>
      <c r="AI64" t="s">
        <v>74</v>
      </c>
      <c r="AJ64" t="s">
        <v>74</v>
      </c>
      <c r="AK64" t="s">
        <v>74</v>
      </c>
      <c r="AL64" t="s">
        <v>74</v>
      </c>
      <c r="AM64" t="s">
        <v>74</v>
      </c>
      <c r="AN64" t="s">
        <v>74</v>
      </c>
      <c r="AO64" t="s">
        <v>265</v>
      </c>
      <c r="AP64" t="s">
        <v>74</v>
      </c>
      <c r="AQ64" t="s">
        <v>697</v>
      </c>
      <c r="AR64" t="s">
        <v>74</v>
      </c>
      <c r="AS64" t="s">
        <v>74</v>
      </c>
      <c r="AT64" t="s">
        <v>74</v>
      </c>
      <c r="AU64">
        <v>2021</v>
      </c>
      <c r="AV64" t="s">
        <v>74</v>
      </c>
      <c r="AW64" t="s">
        <v>74</v>
      </c>
      <c r="AX64" t="s">
        <v>74</v>
      </c>
      <c r="AY64" t="s">
        <v>74</v>
      </c>
      <c r="AZ64" t="s">
        <v>74</v>
      </c>
      <c r="BA64" t="s">
        <v>74</v>
      </c>
      <c r="BB64">
        <v>5473</v>
      </c>
      <c r="BC64">
        <v>5476</v>
      </c>
      <c r="BD64" t="s">
        <v>74</v>
      </c>
      <c r="BE64" t="s">
        <v>705</v>
      </c>
      <c r="BF64" t="str">
        <f>HYPERLINK("http://dx.doi.org/10.1109/IGARSS47720.2021.9553985","http://dx.doi.org/10.1109/IGARSS47720.2021.9553985")</f>
        <v>http://dx.doi.org/10.1109/IGARSS47720.2021.9553985</v>
      </c>
      <c r="BG64" t="s">
        <v>74</v>
      </c>
      <c r="BH64" t="s">
        <v>74</v>
      </c>
      <c r="BI64" t="s">
        <v>74</v>
      </c>
      <c r="BJ64" t="s">
        <v>74</v>
      </c>
      <c r="BK64" t="s">
        <v>74</v>
      </c>
      <c r="BL64" t="s">
        <v>74</v>
      </c>
      <c r="BM64" t="s">
        <v>74</v>
      </c>
      <c r="BN64" t="s">
        <v>74</v>
      </c>
      <c r="BO64" t="s">
        <v>74</v>
      </c>
      <c r="BP64" t="s">
        <v>74</v>
      </c>
      <c r="BQ64" t="s">
        <v>74</v>
      </c>
      <c r="BR64" t="s">
        <v>74</v>
      </c>
      <c r="BS64" t="s">
        <v>706</v>
      </c>
      <c r="BT64" t="str">
        <f>HYPERLINK("https%3A%2F%2Fwww.webofscience.com%2Fwos%2Fwoscc%2Ffull-record%2FWOS:001250139805162","View Full Record in Web of Science")</f>
        <v>View Full Record in Web of Science</v>
      </c>
    </row>
    <row r="65" spans="1:72" x14ac:dyDescent="0.15">
      <c r="A65" t="s">
        <v>72</v>
      </c>
      <c r="B65" t="s">
        <v>707</v>
      </c>
      <c r="C65" t="s">
        <v>74</v>
      </c>
      <c r="D65" t="s">
        <v>74</v>
      </c>
      <c r="E65" t="s">
        <v>74</v>
      </c>
      <c r="F65" t="s">
        <v>708</v>
      </c>
      <c r="G65" t="s">
        <v>74</v>
      </c>
      <c r="H65" t="s">
        <v>74</v>
      </c>
      <c r="I65" t="s">
        <v>709</v>
      </c>
      <c r="J65" t="s">
        <v>710</v>
      </c>
      <c r="K65" t="s">
        <v>74</v>
      </c>
      <c r="L65" t="s">
        <v>74</v>
      </c>
      <c r="M65" t="s">
        <v>74</v>
      </c>
      <c r="N65" t="s">
        <v>74</v>
      </c>
      <c r="O65" t="s">
        <v>74</v>
      </c>
      <c r="P65" t="s">
        <v>74</v>
      </c>
      <c r="Q65" t="s">
        <v>74</v>
      </c>
      <c r="R65" t="s">
        <v>74</v>
      </c>
      <c r="S65" t="s">
        <v>74</v>
      </c>
      <c r="T65" t="s">
        <v>74</v>
      </c>
      <c r="U65" t="s">
        <v>74</v>
      </c>
      <c r="V65" t="s">
        <v>711</v>
      </c>
      <c r="W65" t="s">
        <v>74</v>
      </c>
      <c r="X65" t="s">
        <v>74</v>
      </c>
      <c r="Y65" t="s">
        <v>74</v>
      </c>
      <c r="Z65" t="s">
        <v>74</v>
      </c>
      <c r="AA65" t="s">
        <v>712</v>
      </c>
      <c r="AB65" t="s">
        <v>713</v>
      </c>
      <c r="AC65" t="s">
        <v>74</v>
      </c>
      <c r="AD65" t="s">
        <v>74</v>
      </c>
      <c r="AE65" t="s">
        <v>74</v>
      </c>
      <c r="AF65" t="s">
        <v>74</v>
      </c>
      <c r="AG65" t="s">
        <v>74</v>
      </c>
      <c r="AH65" t="s">
        <v>74</v>
      </c>
      <c r="AI65" t="s">
        <v>74</v>
      </c>
      <c r="AJ65" t="s">
        <v>74</v>
      </c>
      <c r="AK65" t="s">
        <v>74</v>
      </c>
      <c r="AL65" t="s">
        <v>74</v>
      </c>
      <c r="AM65" t="s">
        <v>74</v>
      </c>
      <c r="AN65" t="s">
        <v>74</v>
      </c>
      <c r="AO65" t="s">
        <v>714</v>
      </c>
      <c r="AP65" t="s">
        <v>715</v>
      </c>
      <c r="AQ65" t="s">
        <v>74</v>
      </c>
      <c r="AR65" t="s">
        <v>74</v>
      </c>
      <c r="AS65" t="s">
        <v>74</v>
      </c>
      <c r="AT65" t="s">
        <v>716</v>
      </c>
      <c r="AU65">
        <v>2020</v>
      </c>
      <c r="AV65">
        <v>13</v>
      </c>
      <c r="AW65">
        <v>15</v>
      </c>
      <c r="AX65" t="s">
        <v>74</v>
      </c>
      <c r="AY65" t="s">
        <v>74</v>
      </c>
      <c r="AZ65" t="s">
        <v>74</v>
      </c>
      <c r="BA65" t="s">
        <v>74</v>
      </c>
      <c r="BB65" t="s">
        <v>74</v>
      </c>
      <c r="BC65" t="s">
        <v>74</v>
      </c>
      <c r="BD65">
        <v>696</v>
      </c>
      <c r="BE65" t="s">
        <v>717</v>
      </c>
      <c r="BF65" t="str">
        <f>HYPERLINK("http://dx.doi.org/10.1007/s12517-020-05642-x","http://dx.doi.org/10.1007/s12517-020-05642-x")</f>
        <v>http://dx.doi.org/10.1007/s12517-020-05642-x</v>
      </c>
      <c r="BG65" t="s">
        <v>74</v>
      </c>
      <c r="BH65" t="s">
        <v>74</v>
      </c>
      <c r="BI65" t="s">
        <v>74</v>
      </c>
      <c r="BJ65" t="s">
        <v>74</v>
      </c>
      <c r="BK65" t="s">
        <v>74</v>
      </c>
      <c r="BL65" t="s">
        <v>74</v>
      </c>
      <c r="BM65" t="s">
        <v>74</v>
      </c>
      <c r="BN65" t="s">
        <v>74</v>
      </c>
      <c r="BO65" t="s">
        <v>74</v>
      </c>
      <c r="BP65" t="s">
        <v>74</v>
      </c>
      <c r="BQ65" t="s">
        <v>74</v>
      </c>
      <c r="BR65" t="s">
        <v>74</v>
      </c>
      <c r="BS65" t="s">
        <v>718</v>
      </c>
      <c r="BT65" t="str">
        <f>HYPERLINK("https%3A%2F%2Fwww.webofscience.com%2Fwos%2Fwoscc%2Ffull-record%2FWOS:000552403600005","View Full Record in Web of Science")</f>
        <v>View Full Record in Web of Science</v>
      </c>
    </row>
    <row r="66" spans="1:72" x14ac:dyDescent="0.15">
      <c r="A66" t="s">
        <v>72</v>
      </c>
      <c r="B66" t="s">
        <v>719</v>
      </c>
      <c r="C66" t="s">
        <v>74</v>
      </c>
      <c r="D66" t="s">
        <v>74</v>
      </c>
      <c r="E66" t="s">
        <v>74</v>
      </c>
      <c r="F66" t="s">
        <v>720</v>
      </c>
      <c r="G66" t="s">
        <v>74</v>
      </c>
      <c r="H66" t="s">
        <v>74</v>
      </c>
      <c r="I66" t="s">
        <v>721</v>
      </c>
      <c r="J66" t="s">
        <v>345</v>
      </c>
      <c r="K66" t="s">
        <v>74</v>
      </c>
      <c r="L66" t="s">
        <v>74</v>
      </c>
      <c r="M66" t="s">
        <v>74</v>
      </c>
      <c r="N66" t="s">
        <v>74</v>
      </c>
      <c r="O66" t="s">
        <v>74</v>
      </c>
      <c r="P66" t="s">
        <v>74</v>
      </c>
      <c r="Q66" t="s">
        <v>74</v>
      </c>
      <c r="R66" t="s">
        <v>74</v>
      </c>
      <c r="S66" t="s">
        <v>74</v>
      </c>
      <c r="T66" t="s">
        <v>74</v>
      </c>
      <c r="U66" t="s">
        <v>74</v>
      </c>
      <c r="V66" t="s">
        <v>722</v>
      </c>
      <c r="W66" t="s">
        <v>74</v>
      </c>
      <c r="X66" t="s">
        <v>74</v>
      </c>
      <c r="Y66" t="s">
        <v>74</v>
      </c>
      <c r="Z66" t="s">
        <v>74</v>
      </c>
      <c r="AA66" t="s">
        <v>723</v>
      </c>
      <c r="AB66" t="s">
        <v>724</v>
      </c>
      <c r="AC66" t="s">
        <v>74</v>
      </c>
      <c r="AD66" t="s">
        <v>74</v>
      </c>
      <c r="AE66" t="s">
        <v>74</v>
      </c>
      <c r="AF66" t="s">
        <v>74</v>
      </c>
      <c r="AG66" t="s">
        <v>74</v>
      </c>
      <c r="AH66" t="s">
        <v>74</v>
      </c>
      <c r="AI66" t="s">
        <v>74</v>
      </c>
      <c r="AJ66" t="s">
        <v>74</v>
      </c>
      <c r="AK66" t="s">
        <v>74</v>
      </c>
      <c r="AL66" t="s">
        <v>74</v>
      </c>
      <c r="AM66" t="s">
        <v>74</v>
      </c>
      <c r="AN66" t="s">
        <v>74</v>
      </c>
      <c r="AO66" t="s">
        <v>74</v>
      </c>
      <c r="AP66" t="s">
        <v>349</v>
      </c>
      <c r="AQ66" t="s">
        <v>74</v>
      </c>
      <c r="AR66" t="s">
        <v>74</v>
      </c>
      <c r="AS66" t="s">
        <v>74</v>
      </c>
      <c r="AT66" t="s">
        <v>725</v>
      </c>
      <c r="AU66">
        <v>2020</v>
      </c>
      <c r="AV66">
        <v>14</v>
      </c>
      <c r="AW66">
        <v>3</v>
      </c>
      <c r="AX66" t="s">
        <v>74</v>
      </c>
      <c r="AY66" t="s">
        <v>74</v>
      </c>
      <c r="AZ66" t="s">
        <v>74</v>
      </c>
      <c r="BA66" t="s">
        <v>74</v>
      </c>
      <c r="BB66" t="s">
        <v>74</v>
      </c>
      <c r="BC66" t="s">
        <v>74</v>
      </c>
      <c r="BD66">
        <v>34506</v>
      </c>
      <c r="BE66" t="s">
        <v>726</v>
      </c>
      <c r="BF66" t="str">
        <f>HYPERLINK("http://dx.doi.org/10.1117/1.JRS.14.034506","http://dx.doi.org/10.1117/1.JRS.14.034506")</f>
        <v>http://dx.doi.org/10.1117/1.JRS.14.034506</v>
      </c>
      <c r="BG66" t="s">
        <v>74</v>
      </c>
      <c r="BH66" t="s">
        <v>74</v>
      </c>
      <c r="BI66" t="s">
        <v>74</v>
      </c>
      <c r="BJ66" t="s">
        <v>74</v>
      </c>
      <c r="BK66" t="s">
        <v>74</v>
      </c>
      <c r="BL66" t="s">
        <v>74</v>
      </c>
      <c r="BM66" t="s">
        <v>74</v>
      </c>
      <c r="BN66" t="s">
        <v>74</v>
      </c>
      <c r="BO66" t="s">
        <v>74</v>
      </c>
      <c r="BP66" t="s">
        <v>74</v>
      </c>
      <c r="BQ66" t="s">
        <v>74</v>
      </c>
      <c r="BR66" t="s">
        <v>74</v>
      </c>
      <c r="BS66" t="s">
        <v>727</v>
      </c>
      <c r="BT66" t="str">
        <f>HYPERLINK("https%3A%2F%2Fwww.webofscience.com%2Fwos%2Fwoscc%2Ffull-record%2FWOS:000551468300001","View Full Record in Web of Science")</f>
        <v>View Full Record in Web of Science</v>
      </c>
    </row>
    <row r="67" spans="1:72" x14ac:dyDescent="0.15">
      <c r="A67" t="s">
        <v>72</v>
      </c>
      <c r="B67" t="s">
        <v>728</v>
      </c>
      <c r="C67" t="s">
        <v>74</v>
      </c>
      <c r="D67" t="s">
        <v>74</v>
      </c>
      <c r="E67" t="s">
        <v>74</v>
      </c>
      <c r="F67" t="s">
        <v>729</v>
      </c>
      <c r="G67" t="s">
        <v>74</v>
      </c>
      <c r="H67" t="s">
        <v>74</v>
      </c>
      <c r="I67" t="s">
        <v>730</v>
      </c>
      <c r="J67" t="s">
        <v>77</v>
      </c>
      <c r="K67" t="s">
        <v>74</v>
      </c>
      <c r="L67" t="s">
        <v>74</v>
      </c>
      <c r="M67" t="s">
        <v>74</v>
      </c>
      <c r="N67" t="s">
        <v>74</v>
      </c>
      <c r="O67" t="s">
        <v>74</v>
      </c>
      <c r="P67" t="s">
        <v>74</v>
      </c>
      <c r="Q67" t="s">
        <v>74</v>
      </c>
      <c r="R67" t="s">
        <v>74</v>
      </c>
      <c r="S67" t="s">
        <v>74</v>
      </c>
      <c r="T67" t="s">
        <v>74</v>
      </c>
      <c r="U67" t="s">
        <v>74</v>
      </c>
      <c r="V67" t="s">
        <v>731</v>
      </c>
      <c r="W67" t="s">
        <v>74</v>
      </c>
      <c r="X67" t="s">
        <v>74</v>
      </c>
      <c r="Y67" t="s">
        <v>74</v>
      </c>
      <c r="Z67" t="s">
        <v>74</v>
      </c>
      <c r="AA67" t="s">
        <v>732</v>
      </c>
      <c r="AB67" t="s">
        <v>733</v>
      </c>
      <c r="AC67" t="s">
        <v>74</v>
      </c>
      <c r="AD67" t="s">
        <v>74</v>
      </c>
      <c r="AE67" t="s">
        <v>74</v>
      </c>
      <c r="AF67" t="s">
        <v>74</v>
      </c>
      <c r="AG67" t="s">
        <v>74</v>
      </c>
      <c r="AH67" t="s">
        <v>74</v>
      </c>
      <c r="AI67" t="s">
        <v>74</v>
      </c>
      <c r="AJ67" t="s">
        <v>74</v>
      </c>
      <c r="AK67" t="s">
        <v>74</v>
      </c>
      <c r="AL67" t="s">
        <v>74</v>
      </c>
      <c r="AM67" t="s">
        <v>74</v>
      </c>
      <c r="AN67" t="s">
        <v>74</v>
      </c>
      <c r="AO67" t="s">
        <v>79</v>
      </c>
      <c r="AP67" t="s">
        <v>80</v>
      </c>
      <c r="AQ67" t="s">
        <v>74</v>
      </c>
      <c r="AR67" t="s">
        <v>74</v>
      </c>
      <c r="AS67" t="s">
        <v>74</v>
      </c>
      <c r="AT67" t="s">
        <v>734</v>
      </c>
      <c r="AU67">
        <v>2020</v>
      </c>
      <c r="AV67">
        <v>14</v>
      </c>
      <c r="AW67">
        <v>6</v>
      </c>
      <c r="AX67" t="s">
        <v>74</v>
      </c>
      <c r="AY67" t="s">
        <v>74</v>
      </c>
      <c r="AZ67" t="s">
        <v>74</v>
      </c>
      <c r="BA67" t="s">
        <v>74</v>
      </c>
      <c r="BB67">
        <v>1763</v>
      </c>
      <c r="BC67">
        <v>1778</v>
      </c>
      <c r="BD67" t="s">
        <v>74</v>
      </c>
      <c r="BE67" t="s">
        <v>735</v>
      </c>
      <c r="BF67" t="str">
        <f>HYPERLINK("http://dx.doi.org/10.5194/tc-14-1763-2020","http://dx.doi.org/10.5194/tc-14-1763-2020")</f>
        <v>http://dx.doi.org/10.5194/tc-14-1763-2020</v>
      </c>
      <c r="BG67" t="s">
        <v>74</v>
      </c>
      <c r="BH67" t="s">
        <v>74</v>
      </c>
      <c r="BI67" t="s">
        <v>74</v>
      </c>
      <c r="BJ67" t="s">
        <v>74</v>
      </c>
      <c r="BK67" t="s">
        <v>74</v>
      </c>
      <c r="BL67" t="s">
        <v>74</v>
      </c>
      <c r="BM67" t="s">
        <v>74</v>
      </c>
      <c r="BN67" t="s">
        <v>74</v>
      </c>
      <c r="BO67" t="s">
        <v>74</v>
      </c>
      <c r="BP67" t="s">
        <v>74</v>
      </c>
      <c r="BQ67" t="s">
        <v>74</v>
      </c>
      <c r="BR67" t="s">
        <v>74</v>
      </c>
      <c r="BS67" t="s">
        <v>736</v>
      </c>
      <c r="BT67" t="str">
        <f>HYPERLINK("https%3A%2F%2Fwww.webofscience.com%2Fwos%2Fwoscc%2Ffull-record%2FWOS:000538410900001","View Full Record in Web of Science")</f>
        <v>View Full Record in Web of Science</v>
      </c>
    </row>
    <row r="68" spans="1:72" x14ac:dyDescent="0.15">
      <c r="A68" t="s">
        <v>72</v>
      </c>
      <c r="B68" t="s">
        <v>737</v>
      </c>
      <c r="C68" t="s">
        <v>74</v>
      </c>
      <c r="D68" t="s">
        <v>74</v>
      </c>
      <c r="E68" t="s">
        <v>74</v>
      </c>
      <c r="F68" t="s">
        <v>738</v>
      </c>
      <c r="G68" t="s">
        <v>74</v>
      </c>
      <c r="H68" t="s">
        <v>74</v>
      </c>
      <c r="I68" t="s">
        <v>739</v>
      </c>
      <c r="J68" t="s">
        <v>158</v>
      </c>
      <c r="K68" t="s">
        <v>74</v>
      </c>
      <c r="L68" t="s">
        <v>74</v>
      </c>
      <c r="M68" t="s">
        <v>74</v>
      </c>
      <c r="N68" t="s">
        <v>74</v>
      </c>
      <c r="O68" t="s">
        <v>74</v>
      </c>
      <c r="P68" t="s">
        <v>74</v>
      </c>
      <c r="Q68" t="s">
        <v>74</v>
      </c>
      <c r="R68" t="s">
        <v>74</v>
      </c>
      <c r="S68" t="s">
        <v>74</v>
      </c>
      <c r="T68" t="s">
        <v>74</v>
      </c>
      <c r="U68" t="s">
        <v>74</v>
      </c>
      <c r="V68" t="s">
        <v>740</v>
      </c>
      <c r="W68" t="s">
        <v>74</v>
      </c>
      <c r="X68" t="s">
        <v>74</v>
      </c>
      <c r="Y68" t="s">
        <v>74</v>
      </c>
      <c r="Z68" t="s">
        <v>74</v>
      </c>
      <c r="AA68" t="s">
        <v>741</v>
      </c>
      <c r="AB68" t="s">
        <v>742</v>
      </c>
      <c r="AC68" t="s">
        <v>74</v>
      </c>
      <c r="AD68" t="s">
        <v>74</v>
      </c>
      <c r="AE68" t="s">
        <v>74</v>
      </c>
      <c r="AF68" t="s">
        <v>74</v>
      </c>
      <c r="AG68" t="s">
        <v>74</v>
      </c>
      <c r="AH68" t="s">
        <v>74</v>
      </c>
      <c r="AI68" t="s">
        <v>74</v>
      </c>
      <c r="AJ68" t="s">
        <v>74</v>
      </c>
      <c r="AK68" t="s">
        <v>74</v>
      </c>
      <c r="AL68" t="s">
        <v>74</v>
      </c>
      <c r="AM68" t="s">
        <v>74</v>
      </c>
      <c r="AN68" t="s">
        <v>74</v>
      </c>
      <c r="AO68" t="s">
        <v>161</v>
      </c>
      <c r="AP68" t="s">
        <v>162</v>
      </c>
      <c r="AQ68" t="s">
        <v>74</v>
      </c>
      <c r="AR68" t="s">
        <v>74</v>
      </c>
      <c r="AS68" t="s">
        <v>74</v>
      </c>
      <c r="AT68" t="s">
        <v>219</v>
      </c>
      <c r="AU68">
        <v>2020</v>
      </c>
      <c r="AV68">
        <v>585</v>
      </c>
      <c r="AW68" t="s">
        <v>74</v>
      </c>
      <c r="AX68" t="s">
        <v>74</v>
      </c>
      <c r="AY68" t="s">
        <v>74</v>
      </c>
      <c r="AZ68" t="s">
        <v>74</v>
      </c>
      <c r="BA68" t="s">
        <v>74</v>
      </c>
      <c r="BB68" t="s">
        <v>74</v>
      </c>
      <c r="BC68" t="s">
        <v>74</v>
      </c>
      <c r="BD68">
        <v>124828</v>
      </c>
      <c r="BE68" t="s">
        <v>743</v>
      </c>
      <c r="BF68" t="str">
        <f>HYPERLINK("http://dx.doi.org/10.1016/j.jhydrol.2020.124828","http://dx.doi.org/10.1016/j.jhydrol.2020.124828")</f>
        <v>http://dx.doi.org/10.1016/j.jhydrol.2020.124828</v>
      </c>
      <c r="BG68" t="s">
        <v>74</v>
      </c>
      <c r="BH68" t="s">
        <v>74</v>
      </c>
      <c r="BI68" t="s">
        <v>74</v>
      </c>
      <c r="BJ68" t="s">
        <v>74</v>
      </c>
      <c r="BK68" t="s">
        <v>74</v>
      </c>
      <c r="BL68" t="s">
        <v>74</v>
      </c>
      <c r="BM68" t="s">
        <v>74</v>
      </c>
      <c r="BN68" t="s">
        <v>74</v>
      </c>
      <c r="BO68" t="s">
        <v>74</v>
      </c>
      <c r="BP68" t="s">
        <v>74</v>
      </c>
      <c r="BQ68" t="s">
        <v>74</v>
      </c>
      <c r="BR68" t="s">
        <v>74</v>
      </c>
      <c r="BS68" t="s">
        <v>744</v>
      </c>
      <c r="BT68" t="str">
        <f>HYPERLINK("https%3A%2F%2Fwww.webofscience.com%2Fwos%2Fwoscc%2Ffull-record%2FWOS:000544230000079","View Full Record in Web of Science")</f>
        <v>View Full Record in Web of Science</v>
      </c>
    </row>
    <row r="69" spans="1:72" x14ac:dyDescent="0.15">
      <c r="A69" t="s">
        <v>72</v>
      </c>
      <c r="B69" t="s">
        <v>745</v>
      </c>
      <c r="C69" t="s">
        <v>74</v>
      </c>
      <c r="D69" t="s">
        <v>74</v>
      </c>
      <c r="E69" t="s">
        <v>74</v>
      </c>
      <c r="F69" t="s">
        <v>746</v>
      </c>
      <c r="G69" t="s">
        <v>74</v>
      </c>
      <c r="H69" t="s">
        <v>74</v>
      </c>
      <c r="I69" t="s">
        <v>747</v>
      </c>
      <c r="J69" t="s">
        <v>748</v>
      </c>
      <c r="K69" t="s">
        <v>74</v>
      </c>
      <c r="L69" t="s">
        <v>74</v>
      </c>
      <c r="M69" t="s">
        <v>74</v>
      </c>
      <c r="N69" t="s">
        <v>74</v>
      </c>
      <c r="O69" t="s">
        <v>74</v>
      </c>
      <c r="P69" t="s">
        <v>74</v>
      </c>
      <c r="Q69" t="s">
        <v>74</v>
      </c>
      <c r="R69" t="s">
        <v>74</v>
      </c>
      <c r="S69" t="s">
        <v>74</v>
      </c>
      <c r="T69" t="s">
        <v>74</v>
      </c>
      <c r="U69" t="s">
        <v>74</v>
      </c>
      <c r="V69" t="s">
        <v>749</v>
      </c>
      <c r="W69" t="s">
        <v>74</v>
      </c>
      <c r="X69" t="s">
        <v>74</v>
      </c>
      <c r="Y69" t="s">
        <v>74</v>
      </c>
      <c r="Z69" t="s">
        <v>74</v>
      </c>
      <c r="AA69" t="s">
        <v>750</v>
      </c>
      <c r="AB69" t="s">
        <v>74</v>
      </c>
      <c r="AC69" t="s">
        <v>74</v>
      </c>
      <c r="AD69" t="s">
        <v>74</v>
      </c>
      <c r="AE69" t="s">
        <v>74</v>
      </c>
      <c r="AF69" t="s">
        <v>74</v>
      </c>
      <c r="AG69" t="s">
        <v>74</v>
      </c>
      <c r="AH69" t="s">
        <v>74</v>
      </c>
      <c r="AI69" t="s">
        <v>74</v>
      </c>
      <c r="AJ69" t="s">
        <v>74</v>
      </c>
      <c r="AK69" t="s">
        <v>74</v>
      </c>
      <c r="AL69" t="s">
        <v>74</v>
      </c>
      <c r="AM69" t="s">
        <v>74</v>
      </c>
      <c r="AN69" t="s">
        <v>74</v>
      </c>
      <c r="AO69" t="s">
        <v>751</v>
      </c>
      <c r="AP69" t="s">
        <v>752</v>
      </c>
      <c r="AQ69" t="s">
        <v>74</v>
      </c>
      <c r="AR69" t="s">
        <v>74</v>
      </c>
      <c r="AS69" t="s">
        <v>74</v>
      </c>
      <c r="AT69" t="s">
        <v>190</v>
      </c>
      <c r="AU69">
        <v>2020</v>
      </c>
      <c r="AV69">
        <v>17</v>
      </c>
      <c r="AW69">
        <v>4</v>
      </c>
      <c r="AX69" t="s">
        <v>74</v>
      </c>
      <c r="AY69" t="s">
        <v>74</v>
      </c>
      <c r="AZ69" t="s">
        <v>74</v>
      </c>
      <c r="BA69" t="s">
        <v>74</v>
      </c>
      <c r="BB69">
        <v>884</v>
      </c>
      <c r="BC69">
        <v>897</v>
      </c>
      <c r="BD69" t="s">
        <v>74</v>
      </c>
      <c r="BE69" t="s">
        <v>753</v>
      </c>
      <c r="BF69" t="str">
        <f>HYPERLINK("http://dx.doi.org/10.1007/s11629-019-5723-1","http://dx.doi.org/10.1007/s11629-019-5723-1")</f>
        <v>http://dx.doi.org/10.1007/s11629-019-5723-1</v>
      </c>
      <c r="BG69" t="s">
        <v>74</v>
      </c>
      <c r="BH69" t="s">
        <v>74</v>
      </c>
      <c r="BI69" t="s">
        <v>74</v>
      </c>
      <c r="BJ69" t="s">
        <v>74</v>
      </c>
      <c r="BK69" t="s">
        <v>74</v>
      </c>
      <c r="BL69" t="s">
        <v>74</v>
      </c>
      <c r="BM69" t="s">
        <v>74</v>
      </c>
      <c r="BN69" t="s">
        <v>74</v>
      </c>
      <c r="BO69" t="s">
        <v>74</v>
      </c>
      <c r="BP69" t="s">
        <v>74</v>
      </c>
      <c r="BQ69" t="s">
        <v>74</v>
      </c>
      <c r="BR69" t="s">
        <v>74</v>
      </c>
      <c r="BS69" t="s">
        <v>754</v>
      </c>
      <c r="BT69" t="str">
        <f>HYPERLINK("https%3A%2F%2Fwww.webofscience.com%2Fwos%2Fwoscc%2Ffull-record%2FWOS:000525174500009","View Full Record in Web of Science")</f>
        <v>View Full Record in Web of Science</v>
      </c>
    </row>
    <row r="70" spans="1:72" x14ac:dyDescent="0.15">
      <c r="A70" t="s">
        <v>72</v>
      </c>
      <c r="B70" t="s">
        <v>755</v>
      </c>
      <c r="C70" t="s">
        <v>74</v>
      </c>
      <c r="D70" t="s">
        <v>74</v>
      </c>
      <c r="E70" t="s">
        <v>74</v>
      </c>
      <c r="F70" t="s">
        <v>756</v>
      </c>
      <c r="G70" t="s">
        <v>74</v>
      </c>
      <c r="H70" t="s">
        <v>74</v>
      </c>
      <c r="I70" t="s">
        <v>757</v>
      </c>
      <c r="J70" t="s">
        <v>758</v>
      </c>
      <c r="K70" t="s">
        <v>74</v>
      </c>
      <c r="L70" t="s">
        <v>74</v>
      </c>
      <c r="M70" t="s">
        <v>74</v>
      </c>
      <c r="N70" t="s">
        <v>74</v>
      </c>
      <c r="O70" t="s">
        <v>74</v>
      </c>
      <c r="P70" t="s">
        <v>74</v>
      </c>
      <c r="Q70" t="s">
        <v>74</v>
      </c>
      <c r="R70" t="s">
        <v>74</v>
      </c>
      <c r="S70" t="s">
        <v>74</v>
      </c>
      <c r="T70" t="s">
        <v>74</v>
      </c>
      <c r="U70" t="s">
        <v>74</v>
      </c>
      <c r="V70" t="s">
        <v>759</v>
      </c>
      <c r="W70" t="s">
        <v>74</v>
      </c>
      <c r="X70" t="s">
        <v>74</v>
      </c>
      <c r="Y70" t="s">
        <v>74</v>
      </c>
      <c r="Z70" t="s">
        <v>74</v>
      </c>
      <c r="AA70" t="s">
        <v>760</v>
      </c>
      <c r="AB70" t="s">
        <v>74</v>
      </c>
      <c r="AC70" t="s">
        <v>74</v>
      </c>
      <c r="AD70" t="s">
        <v>74</v>
      </c>
      <c r="AE70" t="s">
        <v>74</v>
      </c>
      <c r="AF70" t="s">
        <v>74</v>
      </c>
      <c r="AG70" t="s">
        <v>74</v>
      </c>
      <c r="AH70" t="s">
        <v>74</v>
      </c>
      <c r="AI70" t="s">
        <v>74</v>
      </c>
      <c r="AJ70" t="s">
        <v>74</v>
      </c>
      <c r="AK70" t="s">
        <v>74</v>
      </c>
      <c r="AL70" t="s">
        <v>74</v>
      </c>
      <c r="AM70" t="s">
        <v>74</v>
      </c>
      <c r="AN70" t="s">
        <v>74</v>
      </c>
      <c r="AO70" t="s">
        <v>761</v>
      </c>
      <c r="AP70" t="s">
        <v>762</v>
      </c>
      <c r="AQ70" t="s">
        <v>74</v>
      </c>
      <c r="AR70" t="s">
        <v>74</v>
      </c>
      <c r="AS70" t="s">
        <v>74</v>
      </c>
      <c r="AT70" t="s">
        <v>486</v>
      </c>
      <c r="AU70">
        <v>2020</v>
      </c>
      <c r="AV70">
        <v>11</v>
      </c>
      <c r="AW70">
        <v>1</v>
      </c>
      <c r="AX70" t="s">
        <v>74</v>
      </c>
      <c r="AY70" t="s">
        <v>74</v>
      </c>
      <c r="AZ70" t="s">
        <v>74</v>
      </c>
      <c r="BA70" t="s">
        <v>74</v>
      </c>
      <c r="BB70">
        <v>66</v>
      </c>
      <c r="BC70">
        <v>75</v>
      </c>
      <c r="BD70" t="s">
        <v>74</v>
      </c>
      <c r="BE70" t="s">
        <v>763</v>
      </c>
      <c r="BF70" t="str">
        <f>HYPERLINK("http://dx.doi.org/10.1080/2150704X.2019.1686548","http://dx.doi.org/10.1080/2150704X.2019.1686548")</f>
        <v>http://dx.doi.org/10.1080/2150704X.2019.1686548</v>
      </c>
      <c r="BG70" t="s">
        <v>74</v>
      </c>
      <c r="BH70" t="s">
        <v>74</v>
      </c>
      <c r="BI70" t="s">
        <v>74</v>
      </c>
      <c r="BJ70" t="s">
        <v>74</v>
      </c>
      <c r="BK70" t="s">
        <v>74</v>
      </c>
      <c r="BL70" t="s">
        <v>74</v>
      </c>
      <c r="BM70" t="s">
        <v>74</v>
      </c>
      <c r="BN70" t="s">
        <v>74</v>
      </c>
      <c r="BO70" t="s">
        <v>74</v>
      </c>
      <c r="BP70" t="s">
        <v>74</v>
      </c>
      <c r="BQ70" t="s">
        <v>74</v>
      </c>
      <c r="BR70" t="s">
        <v>74</v>
      </c>
      <c r="BS70" t="s">
        <v>764</v>
      </c>
      <c r="BT70" t="str">
        <f>HYPERLINK("https%3A%2F%2Fwww.webofscience.com%2Fwos%2Fwoscc%2Ffull-record%2FWOS:000493463300001","View Full Record in Web of Science")</f>
        <v>View Full Record in Web of Science</v>
      </c>
    </row>
    <row r="71" spans="1:72" x14ac:dyDescent="0.15">
      <c r="A71" t="s">
        <v>252</v>
      </c>
      <c r="B71" t="s">
        <v>765</v>
      </c>
      <c r="C71" t="s">
        <v>74</v>
      </c>
      <c r="D71" t="s">
        <v>74</v>
      </c>
      <c r="E71" t="s">
        <v>254</v>
      </c>
      <c r="F71" t="s">
        <v>766</v>
      </c>
      <c r="G71" t="s">
        <v>74</v>
      </c>
      <c r="H71" t="s">
        <v>74</v>
      </c>
      <c r="I71" t="s">
        <v>767</v>
      </c>
      <c r="J71" t="s">
        <v>768</v>
      </c>
      <c r="K71" t="s">
        <v>258</v>
      </c>
      <c r="L71" t="s">
        <v>74</v>
      </c>
      <c r="M71" t="s">
        <v>74</v>
      </c>
      <c r="N71" t="s">
        <v>74</v>
      </c>
      <c r="O71" t="s">
        <v>388</v>
      </c>
      <c r="P71" t="s">
        <v>769</v>
      </c>
      <c r="Q71" t="s">
        <v>694</v>
      </c>
      <c r="R71" t="s">
        <v>695</v>
      </c>
      <c r="S71" t="s">
        <v>74</v>
      </c>
      <c r="T71" t="s">
        <v>74</v>
      </c>
      <c r="U71" t="s">
        <v>74</v>
      </c>
      <c r="V71" t="s">
        <v>770</v>
      </c>
      <c r="W71" t="s">
        <v>74</v>
      </c>
      <c r="X71" t="s">
        <v>74</v>
      </c>
      <c r="Y71" t="s">
        <v>74</v>
      </c>
      <c r="Z71" t="s">
        <v>74</v>
      </c>
      <c r="AA71" t="s">
        <v>771</v>
      </c>
      <c r="AB71" t="s">
        <v>772</v>
      </c>
      <c r="AC71" t="s">
        <v>74</v>
      </c>
      <c r="AD71" t="s">
        <v>74</v>
      </c>
      <c r="AE71" t="s">
        <v>74</v>
      </c>
      <c r="AF71" t="s">
        <v>74</v>
      </c>
      <c r="AG71" t="s">
        <v>74</v>
      </c>
      <c r="AH71" t="s">
        <v>74</v>
      </c>
      <c r="AI71" t="s">
        <v>74</v>
      </c>
      <c r="AJ71" t="s">
        <v>74</v>
      </c>
      <c r="AK71" t="s">
        <v>74</v>
      </c>
      <c r="AL71" t="s">
        <v>74</v>
      </c>
      <c r="AM71" t="s">
        <v>74</v>
      </c>
      <c r="AN71" t="s">
        <v>74</v>
      </c>
      <c r="AO71" t="s">
        <v>265</v>
      </c>
      <c r="AP71" t="s">
        <v>74</v>
      </c>
      <c r="AQ71" t="s">
        <v>773</v>
      </c>
      <c r="AR71" t="s">
        <v>74</v>
      </c>
      <c r="AS71" t="s">
        <v>74</v>
      </c>
      <c r="AT71" t="s">
        <v>74</v>
      </c>
      <c r="AU71">
        <v>2020</v>
      </c>
      <c r="AV71" t="s">
        <v>74</v>
      </c>
      <c r="AW71" t="s">
        <v>74</v>
      </c>
      <c r="AX71" t="s">
        <v>74</v>
      </c>
      <c r="AY71" t="s">
        <v>74</v>
      </c>
      <c r="AZ71" t="s">
        <v>74</v>
      </c>
      <c r="BA71" t="s">
        <v>74</v>
      </c>
      <c r="BB71">
        <v>2930</v>
      </c>
      <c r="BC71">
        <v>2933</v>
      </c>
      <c r="BD71" t="s">
        <v>74</v>
      </c>
      <c r="BE71" t="s">
        <v>774</v>
      </c>
      <c r="BF71" t="str">
        <f>HYPERLINK("http://dx.doi.org/10.1109/IGARSS39084.2020.9323472","http://dx.doi.org/10.1109/IGARSS39084.2020.9323472")</f>
        <v>http://dx.doi.org/10.1109/IGARSS39084.2020.9323472</v>
      </c>
      <c r="BG71" t="s">
        <v>74</v>
      </c>
      <c r="BH71" t="s">
        <v>74</v>
      </c>
      <c r="BI71" t="s">
        <v>74</v>
      </c>
      <c r="BJ71" t="s">
        <v>74</v>
      </c>
      <c r="BK71" t="s">
        <v>74</v>
      </c>
      <c r="BL71" t="s">
        <v>74</v>
      </c>
      <c r="BM71" t="s">
        <v>74</v>
      </c>
      <c r="BN71" t="s">
        <v>74</v>
      </c>
      <c r="BO71" t="s">
        <v>74</v>
      </c>
      <c r="BP71" t="s">
        <v>74</v>
      </c>
      <c r="BQ71" t="s">
        <v>74</v>
      </c>
      <c r="BR71" t="s">
        <v>74</v>
      </c>
      <c r="BS71" t="s">
        <v>775</v>
      </c>
      <c r="BT71" t="str">
        <f>HYPERLINK("https%3A%2F%2Fwww.webofscience.com%2Fwos%2Fwoscc%2Ffull-record%2FWOS:000664335302234","View Full Record in Web of Science")</f>
        <v>View Full Record in Web of Science</v>
      </c>
    </row>
    <row r="72" spans="1:72" x14ac:dyDescent="0.15">
      <c r="A72" t="s">
        <v>252</v>
      </c>
      <c r="B72" t="s">
        <v>776</v>
      </c>
      <c r="C72" t="s">
        <v>74</v>
      </c>
      <c r="D72" t="s">
        <v>74</v>
      </c>
      <c r="E72" t="s">
        <v>254</v>
      </c>
      <c r="F72" t="s">
        <v>777</v>
      </c>
      <c r="G72" t="s">
        <v>74</v>
      </c>
      <c r="H72" t="s">
        <v>74</v>
      </c>
      <c r="I72" t="s">
        <v>778</v>
      </c>
      <c r="J72" t="s">
        <v>779</v>
      </c>
      <c r="K72" t="s">
        <v>74</v>
      </c>
      <c r="L72" t="s">
        <v>74</v>
      </c>
      <c r="M72" t="s">
        <v>74</v>
      </c>
      <c r="N72" t="s">
        <v>74</v>
      </c>
      <c r="O72" t="s">
        <v>780</v>
      </c>
      <c r="P72" t="s">
        <v>781</v>
      </c>
      <c r="Q72" t="s">
        <v>782</v>
      </c>
      <c r="R72" t="s">
        <v>783</v>
      </c>
      <c r="S72" t="s">
        <v>74</v>
      </c>
      <c r="T72" t="s">
        <v>74</v>
      </c>
      <c r="U72" t="s">
        <v>74</v>
      </c>
      <c r="V72" t="s">
        <v>784</v>
      </c>
      <c r="W72" t="s">
        <v>74</v>
      </c>
      <c r="X72" t="s">
        <v>74</v>
      </c>
      <c r="Y72" t="s">
        <v>74</v>
      </c>
      <c r="Z72" t="s">
        <v>74</v>
      </c>
      <c r="AA72" t="s">
        <v>785</v>
      </c>
      <c r="AB72" t="s">
        <v>786</v>
      </c>
      <c r="AC72" t="s">
        <v>74</v>
      </c>
      <c r="AD72" t="s">
        <v>74</v>
      </c>
      <c r="AE72" t="s">
        <v>74</v>
      </c>
      <c r="AF72" t="s">
        <v>74</v>
      </c>
      <c r="AG72" t="s">
        <v>74</v>
      </c>
      <c r="AH72" t="s">
        <v>74</v>
      </c>
      <c r="AI72" t="s">
        <v>74</v>
      </c>
      <c r="AJ72" t="s">
        <v>74</v>
      </c>
      <c r="AK72" t="s">
        <v>74</v>
      </c>
      <c r="AL72" t="s">
        <v>74</v>
      </c>
      <c r="AM72" t="s">
        <v>74</v>
      </c>
      <c r="AN72" t="s">
        <v>74</v>
      </c>
      <c r="AO72" t="s">
        <v>74</v>
      </c>
      <c r="AP72" t="s">
        <v>74</v>
      </c>
      <c r="AQ72" t="s">
        <v>787</v>
      </c>
      <c r="AR72" t="s">
        <v>74</v>
      </c>
      <c r="AS72" t="s">
        <v>74</v>
      </c>
      <c r="AT72" t="s">
        <v>74</v>
      </c>
      <c r="AU72">
        <v>2020</v>
      </c>
      <c r="AV72" t="s">
        <v>74</v>
      </c>
      <c r="AW72" t="s">
        <v>74</v>
      </c>
      <c r="AX72" t="s">
        <v>74</v>
      </c>
      <c r="AY72" t="s">
        <v>74</v>
      </c>
      <c r="AZ72" t="s">
        <v>74</v>
      </c>
      <c r="BA72" t="s">
        <v>74</v>
      </c>
      <c r="BB72" t="s">
        <v>74</v>
      </c>
      <c r="BC72" t="s">
        <v>74</v>
      </c>
      <c r="BD72" t="s">
        <v>74</v>
      </c>
      <c r="BE72" t="s">
        <v>788</v>
      </c>
      <c r="BF72" t="str">
        <f>HYPERLINK("http://dx.doi.org/10.23919/ursigass49373.2020.9232247","http://dx.doi.org/10.23919/ursigass49373.2020.9232247")</f>
        <v>http://dx.doi.org/10.23919/ursigass49373.2020.9232247</v>
      </c>
      <c r="BG72" t="s">
        <v>74</v>
      </c>
      <c r="BH72" t="s">
        <v>74</v>
      </c>
      <c r="BI72" t="s">
        <v>74</v>
      </c>
      <c r="BJ72" t="s">
        <v>74</v>
      </c>
      <c r="BK72" t="s">
        <v>74</v>
      </c>
      <c r="BL72" t="s">
        <v>74</v>
      </c>
      <c r="BM72" t="s">
        <v>74</v>
      </c>
      <c r="BN72" t="s">
        <v>74</v>
      </c>
      <c r="BO72" t="s">
        <v>74</v>
      </c>
      <c r="BP72" t="s">
        <v>74</v>
      </c>
      <c r="BQ72" t="s">
        <v>74</v>
      </c>
      <c r="BR72" t="s">
        <v>74</v>
      </c>
      <c r="BS72" t="s">
        <v>789</v>
      </c>
      <c r="BT72" t="str">
        <f>HYPERLINK("https%3A%2F%2Fwww.webofscience.com%2Fwos%2Fwoscc%2Ffull-record%2FWOS:000632276400173","View Full Record in Web of Science")</f>
        <v>View Full Record in Web of Science</v>
      </c>
    </row>
    <row r="73" spans="1:72" x14ac:dyDescent="0.15">
      <c r="A73" t="s">
        <v>72</v>
      </c>
      <c r="B73" t="s">
        <v>790</v>
      </c>
      <c r="C73" t="s">
        <v>74</v>
      </c>
      <c r="D73" t="s">
        <v>74</v>
      </c>
      <c r="E73" t="s">
        <v>74</v>
      </c>
      <c r="F73" t="s">
        <v>791</v>
      </c>
      <c r="G73" t="s">
        <v>74</v>
      </c>
      <c r="H73" t="s">
        <v>74</v>
      </c>
      <c r="I73" t="s">
        <v>792</v>
      </c>
      <c r="J73" t="s">
        <v>793</v>
      </c>
      <c r="K73" t="s">
        <v>74</v>
      </c>
      <c r="L73" t="s">
        <v>74</v>
      </c>
      <c r="M73" t="s">
        <v>74</v>
      </c>
      <c r="N73" t="s">
        <v>74</v>
      </c>
      <c r="O73" t="s">
        <v>74</v>
      </c>
      <c r="P73" t="s">
        <v>74</v>
      </c>
      <c r="Q73" t="s">
        <v>74</v>
      </c>
      <c r="R73" t="s">
        <v>74</v>
      </c>
      <c r="S73" t="s">
        <v>74</v>
      </c>
      <c r="T73" t="s">
        <v>74</v>
      </c>
      <c r="U73" t="s">
        <v>74</v>
      </c>
      <c r="V73" t="s">
        <v>794</v>
      </c>
      <c r="W73" t="s">
        <v>74</v>
      </c>
      <c r="X73" t="s">
        <v>74</v>
      </c>
      <c r="Y73" t="s">
        <v>74</v>
      </c>
      <c r="Z73" t="s">
        <v>74</v>
      </c>
      <c r="AA73" t="s">
        <v>795</v>
      </c>
      <c r="AB73" t="s">
        <v>796</v>
      </c>
      <c r="AC73" t="s">
        <v>74</v>
      </c>
      <c r="AD73" t="s">
        <v>74</v>
      </c>
      <c r="AE73" t="s">
        <v>74</v>
      </c>
      <c r="AF73" t="s">
        <v>74</v>
      </c>
      <c r="AG73" t="s">
        <v>74</v>
      </c>
      <c r="AH73" t="s">
        <v>74</v>
      </c>
      <c r="AI73" t="s">
        <v>74</v>
      </c>
      <c r="AJ73" t="s">
        <v>74</v>
      </c>
      <c r="AK73" t="s">
        <v>74</v>
      </c>
      <c r="AL73" t="s">
        <v>74</v>
      </c>
      <c r="AM73" t="s">
        <v>74</v>
      </c>
      <c r="AN73" t="s">
        <v>74</v>
      </c>
      <c r="AO73" t="s">
        <v>74</v>
      </c>
      <c r="AP73" t="s">
        <v>797</v>
      </c>
      <c r="AQ73" t="s">
        <v>74</v>
      </c>
      <c r="AR73" t="s">
        <v>74</v>
      </c>
      <c r="AS73" t="s">
        <v>74</v>
      </c>
      <c r="AT73" t="s">
        <v>798</v>
      </c>
      <c r="AU73">
        <v>2019</v>
      </c>
      <c r="AV73">
        <v>7</v>
      </c>
      <c r="AW73" t="s">
        <v>74</v>
      </c>
      <c r="AX73" t="s">
        <v>74</v>
      </c>
      <c r="AY73" t="s">
        <v>74</v>
      </c>
      <c r="AZ73" t="s">
        <v>74</v>
      </c>
      <c r="BA73" t="s">
        <v>74</v>
      </c>
      <c r="BB73" t="s">
        <v>74</v>
      </c>
      <c r="BC73" t="s">
        <v>74</v>
      </c>
      <c r="BD73">
        <v>212</v>
      </c>
      <c r="BE73" t="s">
        <v>799</v>
      </c>
      <c r="BF73" t="str">
        <f>HYPERLINK("http://dx.doi.org/10.3389/feart.2019.00212","http://dx.doi.org/10.3389/feart.2019.00212")</f>
        <v>http://dx.doi.org/10.3389/feart.2019.00212</v>
      </c>
      <c r="BG73" t="s">
        <v>74</v>
      </c>
      <c r="BH73" t="s">
        <v>74</v>
      </c>
      <c r="BI73" t="s">
        <v>74</v>
      </c>
      <c r="BJ73" t="s">
        <v>74</v>
      </c>
      <c r="BK73" t="s">
        <v>74</v>
      </c>
      <c r="BL73" t="s">
        <v>74</v>
      </c>
      <c r="BM73" t="s">
        <v>74</v>
      </c>
      <c r="BN73" t="s">
        <v>74</v>
      </c>
      <c r="BO73" t="s">
        <v>74</v>
      </c>
      <c r="BP73" t="s">
        <v>74</v>
      </c>
      <c r="BQ73" t="s">
        <v>74</v>
      </c>
      <c r="BR73" t="s">
        <v>74</v>
      </c>
      <c r="BS73" t="s">
        <v>800</v>
      </c>
      <c r="BT73" t="str">
        <f>HYPERLINK("https%3A%2F%2Fwww.webofscience.com%2Fwos%2Fwoscc%2Ffull-record%2FWOS:000481868600002","View Full Record in Web of Science")</f>
        <v>View Full Record in Web of Science</v>
      </c>
    </row>
    <row r="74" spans="1:72" x14ac:dyDescent="0.15">
      <c r="A74" t="s">
        <v>252</v>
      </c>
      <c r="B74" t="s">
        <v>801</v>
      </c>
      <c r="C74" t="s">
        <v>74</v>
      </c>
      <c r="D74" t="s">
        <v>430</v>
      </c>
      <c r="E74" t="s">
        <v>74</v>
      </c>
      <c r="F74" t="s">
        <v>802</v>
      </c>
      <c r="G74" t="s">
        <v>74</v>
      </c>
      <c r="H74" t="s">
        <v>74</v>
      </c>
      <c r="I74" t="s">
        <v>803</v>
      </c>
      <c r="J74" t="s">
        <v>804</v>
      </c>
      <c r="K74" t="s">
        <v>433</v>
      </c>
      <c r="L74" t="s">
        <v>74</v>
      </c>
      <c r="M74" t="s">
        <v>74</v>
      </c>
      <c r="N74" t="s">
        <v>74</v>
      </c>
      <c r="O74" t="s">
        <v>805</v>
      </c>
      <c r="P74" t="s">
        <v>806</v>
      </c>
      <c r="Q74" t="s">
        <v>807</v>
      </c>
      <c r="R74" t="s">
        <v>636</v>
      </c>
      <c r="S74" t="s">
        <v>74</v>
      </c>
      <c r="T74" t="s">
        <v>74</v>
      </c>
      <c r="U74" t="s">
        <v>74</v>
      </c>
      <c r="V74" t="s">
        <v>808</v>
      </c>
      <c r="W74" t="s">
        <v>74</v>
      </c>
      <c r="X74" t="s">
        <v>74</v>
      </c>
      <c r="Y74" t="s">
        <v>74</v>
      </c>
      <c r="Z74" t="s">
        <v>74</v>
      </c>
      <c r="AA74" t="s">
        <v>809</v>
      </c>
      <c r="AB74" t="s">
        <v>810</v>
      </c>
      <c r="AC74" t="s">
        <v>74</v>
      </c>
      <c r="AD74" t="s">
        <v>74</v>
      </c>
      <c r="AE74" t="s">
        <v>74</v>
      </c>
      <c r="AF74" t="s">
        <v>74</v>
      </c>
      <c r="AG74" t="s">
        <v>74</v>
      </c>
      <c r="AH74" t="s">
        <v>74</v>
      </c>
      <c r="AI74" t="s">
        <v>74</v>
      </c>
      <c r="AJ74" t="s">
        <v>74</v>
      </c>
      <c r="AK74" t="s">
        <v>74</v>
      </c>
      <c r="AL74" t="s">
        <v>74</v>
      </c>
      <c r="AM74" t="s">
        <v>74</v>
      </c>
      <c r="AN74" t="s">
        <v>74</v>
      </c>
      <c r="AO74" t="s">
        <v>441</v>
      </c>
      <c r="AP74" t="s">
        <v>442</v>
      </c>
      <c r="AQ74" t="s">
        <v>811</v>
      </c>
      <c r="AR74" t="s">
        <v>74</v>
      </c>
      <c r="AS74" t="s">
        <v>74</v>
      </c>
      <c r="AT74" t="s">
        <v>74</v>
      </c>
      <c r="AU74">
        <v>2019</v>
      </c>
      <c r="AV74">
        <v>11154</v>
      </c>
      <c r="AW74" t="s">
        <v>74</v>
      </c>
      <c r="AX74" t="s">
        <v>74</v>
      </c>
      <c r="AY74" t="s">
        <v>74</v>
      </c>
      <c r="AZ74" t="s">
        <v>74</v>
      </c>
      <c r="BA74" t="s">
        <v>74</v>
      </c>
      <c r="BB74" t="s">
        <v>74</v>
      </c>
      <c r="BC74" t="s">
        <v>74</v>
      </c>
      <c r="BD74" t="s">
        <v>812</v>
      </c>
      <c r="BE74" t="s">
        <v>813</v>
      </c>
      <c r="BF74" t="str">
        <f>HYPERLINK("http://dx.doi.org/10.1117/12.2550824","http://dx.doi.org/10.1117/12.2550824")</f>
        <v>http://dx.doi.org/10.1117/12.2550824</v>
      </c>
      <c r="BG74" t="s">
        <v>74</v>
      </c>
      <c r="BH74" t="s">
        <v>74</v>
      </c>
      <c r="BI74" t="s">
        <v>74</v>
      </c>
      <c r="BJ74" t="s">
        <v>74</v>
      </c>
      <c r="BK74" t="s">
        <v>74</v>
      </c>
      <c r="BL74" t="s">
        <v>74</v>
      </c>
      <c r="BM74" t="s">
        <v>74</v>
      </c>
      <c r="BN74" t="s">
        <v>74</v>
      </c>
      <c r="BO74" t="s">
        <v>74</v>
      </c>
      <c r="BP74" t="s">
        <v>74</v>
      </c>
      <c r="BQ74" t="s">
        <v>74</v>
      </c>
      <c r="BR74" t="s">
        <v>74</v>
      </c>
      <c r="BS74" t="s">
        <v>814</v>
      </c>
      <c r="BT74" t="str">
        <f>HYPERLINK("https%3A%2F%2Fwww.webofscience.com%2Fwos%2Fwoscc%2Ffull-record%2FWOS:000511150300005","View Full Record in Web of Science")</f>
        <v>View Full Record in Web of Science</v>
      </c>
    </row>
    <row r="75" spans="1:72" x14ac:dyDescent="0.15">
      <c r="A75" t="s">
        <v>252</v>
      </c>
      <c r="B75" t="s">
        <v>815</v>
      </c>
      <c r="C75" t="s">
        <v>74</v>
      </c>
      <c r="D75" t="s">
        <v>74</v>
      </c>
      <c r="E75" t="s">
        <v>254</v>
      </c>
      <c r="F75" t="s">
        <v>816</v>
      </c>
      <c r="G75" t="s">
        <v>74</v>
      </c>
      <c r="H75" t="s">
        <v>74</v>
      </c>
      <c r="I75" t="s">
        <v>817</v>
      </c>
      <c r="J75" t="s">
        <v>818</v>
      </c>
      <c r="K75" t="s">
        <v>258</v>
      </c>
      <c r="L75" t="s">
        <v>74</v>
      </c>
      <c r="M75" t="s">
        <v>74</v>
      </c>
      <c r="N75" t="s">
        <v>74</v>
      </c>
      <c r="O75" t="s">
        <v>388</v>
      </c>
      <c r="P75" t="s">
        <v>819</v>
      </c>
      <c r="Q75" t="s">
        <v>820</v>
      </c>
      <c r="R75" t="s">
        <v>391</v>
      </c>
      <c r="S75" t="s">
        <v>74</v>
      </c>
      <c r="T75" t="s">
        <v>74</v>
      </c>
      <c r="U75" t="s">
        <v>74</v>
      </c>
      <c r="V75" t="s">
        <v>821</v>
      </c>
      <c r="W75" t="s">
        <v>74</v>
      </c>
      <c r="X75" t="s">
        <v>74</v>
      </c>
      <c r="Y75" t="s">
        <v>74</v>
      </c>
      <c r="Z75" t="s">
        <v>74</v>
      </c>
      <c r="AA75" t="s">
        <v>822</v>
      </c>
      <c r="AB75" t="s">
        <v>823</v>
      </c>
      <c r="AC75" t="s">
        <v>74</v>
      </c>
      <c r="AD75" t="s">
        <v>74</v>
      </c>
      <c r="AE75" t="s">
        <v>74</v>
      </c>
      <c r="AF75" t="s">
        <v>74</v>
      </c>
      <c r="AG75" t="s">
        <v>74</v>
      </c>
      <c r="AH75" t="s">
        <v>74</v>
      </c>
      <c r="AI75" t="s">
        <v>74</v>
      </c>
      <c r="AJ75" t="s">
        <v>74</v>
      </c>
      <c r="AK75" t="s">
        <v>74</v>
      </c>
      <c r="AL75" t="s">
        <v>74</v>
      </c>
      <c r="AM75" t="s">
        <v>74</v>
      </c>
      <c r="AN75" t="s">
        <v>74</v>
      </c>
      <c r="AO75" t="s">
        <v>265</v>
      </c>
      <c r="AP75" t="s">
        <v>74</v>
      </c>
      <c r="AQ75" t="s">
        <v>824</v>
      </c>
      <c r="AR75" t="s">
        <v>74</v>
      </c>
      <c r="AS75" t="s">
        <v>74</v>
      </c>
      <c r="AT75" t="s">
        <v>74</v>
      </c>
      <c r="AU75">
        <v>2019</v>
      </c>
      <c r="AV75" t="s">
        <v>74</v>
      </c>
      <c r="AW75" t="s">
        <v>74</v>
      </c>
      <c r="AX75" t="s">
        <v>74</v>
      </c>
      <c r="AY75" t="s">
        <v>74</v>
      </c>
      <c r="AZ75" t="s">
        <v>74</v>
      </c>
      <c r="BA75" t="s">
        <v>74</v>
      </c>
      <c r="BB75">
        <v>3233</v>
      </c>
      <c r="BC75">
        <v>3236</v>
      </c>
      <c r="BD75" t="s">
        <v>74</v>
      </c>
      <c r="BE75" t="s">
        <v>825</v>
      </c>
      <c r="BF75" t="str">
        <f>HYPERLINK("http://dx.doi.org/10.1109/igarss.2019.8900565","http://dx.doi.org/10.1109/igarss.2019.8900565")</f>
        <v>http://dx.doi.org/10.1109/igarss.2019.8900565</v>
      </c>
      <c r="BG75" t="s">
        <v>74</v>
      </c>
      <c r="BH75" t="s">
        <v>74</v>
      </c>
      <c r="BI75" t="s">
        <v>74</v>
      </c>
      <c r="BJ75" t="s">
        <v>74</v>
      </c>
      <c r="BK75" t="s">
        <v>74</v>
      </c>
      <c r="BL75" t="s">
        <v>74</v>
      </c>
      <c r="BM75" t="s">
        <v>74</v>
      </c>
      <c r="BN75" t="s">
        <v>74</v>
      </c>
      <c r="BO75" t="s">
        <v>74</v>
      </c>
      <c r="BP75" t="s">
        <v>74</v>
      </c>
      <c r="BQ75" t="s">
        <v>74</v>
      </c>
      <c r="BR75" t="s">
        <v>74</v>
      </c>
      <c r="BS75" t="s">
        <v>826</v>
      </c>
      <c r="BT75" t="str">
        <f>HYPERLINK("https%3A%2F%2Fwww.webofscience.com%2Fwos%2Fwoscc%2Ffull-record%2FWOS:000519270603064","View Full Record in Web of Science")</f>
        <v>View Full Record in Web of Science</v>
      </c>
    </row>
    <row r="76" spans="1:72" x14ac:dyDescent="0.15">
      <c r="A76" t="s">
        <v>252</v>
      </c>
      <c r="B76" t="s">
        <v>827</v>
      </c>
      <c r="C76" t="s">
        <v>74</v>
      </c>
      <c r="D76" t="s">
        <v>74</v>
      </c>
      <c r="E76" t="s">
        <v>254</v>
      </c>
      <c r="F76" t="s">
        <v>828</v>
      </c>
      <c r="G76" t="s">
        <v>74</v>
      </c>
      <c r="H76" t="s">
        <v>74</v>
      </c>
      <c r="I76" t="s">
        <v>829</v>
      </c>
      <c r="J76" t="s">
        <v>830</v>
      </c>
      <c r="K76" t="s">
        <v>831</v>
      </c>
      <c r="L76" t="s">
        <v>74</v>
      </c>
      <c r="M76" t="s">
        <v>74</v>
      </c>
      <c r="N76" t="s">
        <v>74</v>
      </c>
      <c r="O76" t="s">
        <v>832</v>
      </c>
      <c r="P76" t="s">
        <v>833</v>
      </c>
      <c r="Q76" t="s">
        <v>834</v>
      </c>
      <c r="R76" t="s">
        <v>835</v>
      </c>
      <c r="S76" t="s">
        <v>74</v>
      </c>
      <c r="T76" t="s">
        <v>74</v>
      </c>
      <c r="U76" t="s">
        <v>74</v>
      </c>
      <c r="V76" t="s">
        <v>836</v>
      </c>
      <c r="W76" t="s">
        <v>74</v>
      </c>
      <c r="X76" t="s">
        <v>74</v>
      </c>
      <c r="Y76" t="s">
        <v>74</v>
      </c>
      <c r="Z76" t="s">
        <v>74</v>
      </c>
      <c r="AA76" t="s">
        <v>837</v>
      </c>
      <c r="AB76" t="s">
        <v>838</v>
      </c>
      <c r="AC76" t="s">
        <v>74</v>
      </c>
      <c r="AD76" t="s">
        <v>74</v>
      </c>
      <c r="AE76" t="s">
        <v>74</v>
      </c>
      <c r="AF76" t="s">
        <v>74</v>
      </c>
      <c r="AG76" t="s">
        <v>74</v>
      </c>
      <c r="AH76" t="s">
        <v>74</v>
      </c>
      <c r="AI76" t="s">
        <v>74</v>
      </c>
      <c r="AJ76" t="s">
        <v>74</v>
      </c>
      <c r="AK76" t="s">
        <v>74</v>
      </c>
      <c r="AL76" t="s">
        <v>74</v>
      </c>
      <c r="AM76" t="s">
        <v>74</v>
      </c>
      <c r="AN76" t="s">
        <v>74</v>
      </c>
      <c r="AO76" t="s">
        <v>839</v>
      </c>
      <c r="AP76" t="s">
        <v>74</v>
      </c>
      <c r="AQ76" t="s">
        <v>74</v>
      </c>
      <c r="AR76" t="s">
        <v>74</v>
      </c>
      <c r="AS76" t="s">
        <v>74</v>
      </c>
      <c r="AT76" t="s">
        <v>74</v>
      </c>
      <c r="AU76">
        <v>2019</v>
      </c>
      <c r="AV76" t="s">
        <v>74</v>
      </c>
      <c r="AW76" t="s">
        <v>74</v>
      </c>
      <c r="AX76" t="s">
        <v>74</v>
      </c>
      <c r="AY76" t="s">
        <v>74</v>
      </c>
      <c r="AZ76" t="s">
        <v>74</v>
      </c>
      <c r="BA76" t="s">
        <v>74</v>
      </c>
      <c r="BB76" t="s">
        <v>74</v>
      </c>
      <c r="BC76" t="s">
        <v>74</v>
      </c>
      <c r="BD76" t="s">
        <v>74</v>
      </c>
      <c r="BE76" t="s">
        <v>840</v>
      </c>
      <c r="BF76" t="str">
        <f>HYPERLINK("http://dx.doi.org/10.1109/imarc45935.2019.9118717","http://dx.doi.org/10.1109/imarc45935.2019.9118717")</f>
        <v>http://dx.doi.org/10.1109/imarc45935.2019.9118717</v>
      </c>
      <c r="BG76" t="s">
        <v>74</v>
      </c>
      <c r="BH76" t="s">
        <v>74</v>
      </c>
      <c r="BI76" t="s">
        <v>74</v>
      </c>
      <c r="BJ76" t="s">
        <v>74</v>
      </c>
      <c r="BK76" t="s">
        <v>74</v>
      </c>
      <c r="BL76" t="s">
        <v>74</v>
      </c>
      <c r="BM76" t="s">
        <v>74</v>
      </c>
      <c r="BN76" t="s">
        <v>74</v>
      </c>
      <c r="BO76" t="s">
        <v>74</v>
      </c>
      <c r="BP76" t="s">
        <v>74</v>
      </c>
      <c r="BQ76" t="s">
        <v>74</v>
      </c>
      <c r="BR76" t="s">
        <v>74</v>
      </c>
      <c r="BS76" t="s">
        <v>841</v>
      </c>
      <c r="BT76" t="str">
        <f>HYPERLINK("https%3A%2F%2Fwww.webofscience.com%2Fwos%2Fwoscc%2Ffull-record%2FWOS:000730826200076","View Full Record in Web of Science")</f>
        <v>View Full Record in Web of Science</v>
      </c>
    </row>
    <row r="77" spans="1:72" x14ac:dyDescent="0.15">
      <c r="A77" t="s">
        <v>252</v>
      </c>
      <c r="B77" t="s">
        <v>842</v>
      </c>
      <c r="C77" t="s">
        <v>74</v>
      </c>
      <c r="D77" t="s">
        <v>74</v>
      </c>
      <c r="E77" t="s">
        <v>254</v>
      </c>
      <c r="F77" t="s">
        <v>843</v>
      </c>
      <c r="G77" t="s">
        <v>74</v>
      </c>
      <c r="H77" t="s">
        <v>74</v>
      </c>
      <c r="I77" t="s">
        <v>844</v>
      </c>
      <c r="J77" t="s">
        <v>818</v>
      </c>
      <c r="K77" t="s">
        <v>258</v>
      </c>
      <c r="L77" t="s">
        <v>74</v>
      </c>
      <c r="M77" t="s">
        <v>74</v>
      </c>
      <c r="N77" t="s">
        <v>74</v>
      </c>
      <c r="O77" t="s">
        <v>388</v>
      </c>
      <c r="P77" t="s">
        <v>819</v>
      </c>
      <c r="Q77" t="s">
        <v>820</v>
      </c>
      <c r="R77" t="s">
        <v>391</v>
      </c>
      <c r="S77" t="s">
        <v>74</v>
      </c>
      <c r="T77" t="s">
        <v>74</v>
      </c>
      <c r="U77" t="s">
        <v>74</v>
      </c>
      <c r="V77" t="s">
        <v>845</v>
      </c>
      <c r="W77" t="s">
        <v>74</v>
      </c>
      <c r="X77" t="s">
        <v>74</v>
      </c>
      <c r="Y77" t="s">
        <v>74</v>
      </c>
      <c r="Z77" t="s">
        <v>74</v>
      </c>
      <c r="AA77" t="s">
        <v>846</v>
      </c>
      <c r="AB77" t="s">
        <v>847</v>
      </c>
      <c r="AC77" t="s">
        <v>74</v>
      </c>
      <c r="AD77" t="s">
        <v>74</v>
      </c>
      <c r="AE77" t="s">
        <v>74</v>
      </c>
      <c r="AF77" t="s">
        <v>74</v>
      </c>
      <c r="AG77" t="s">
        <v>74</v>
      </c>
      <c r="AH77" t="s">
        <v>74</v>
      </c>
      <c r="AI77" t="s">
        <v>74</v>
      </c>
      <c r="AJ77" t="s">
        <v>74</v>
      </c>
      <c r="AK77" t="s">
        <v>74</v>
      </c>
      <c r="AL77" t="s">
        <v>74</v>
      </c>
      <c r="AM77" t="s">
        <v>74</v>
      </c>
      <c r="AN77" t="s">
        <v>74</v>
      </c>
      <c r="AO77" t="s">
        <v>265</v>
      </c>
      <c r="AP77" t="s">
        <v>74</v>
      </c>
      <c r="AQ77" t="s">
        <v>824</v>
      </c>
      <c r="AR77" t="s">
        <v>74</v>
      </c>
      <c r="AS77" t="s">
        <v>74</v>
      </c>
      <c r="AT77" t="s">
        <v>74</v>
      </c>
      <c r="AU77">
        <v>2019</v>
      </c>
      <c r="AV77" t="s">
        <v>74</v>
      </c>
      <c r="AW77" t="s">
        <v>74</v>
      </c>
      <c r="AX77" t="s">
        <v>74</v>
      </c>
      <c r="AY77" t="s">
        <v>74</v>
      </c>
      <c r="AZ77" t="s">
        <v>74</v>
      </c>
      <c r="BA77" t="s">
        <v>74</v>
      </c>
      <c r="BB77">
        <v>4113</v>
      </c>
      <c r="BC77">
        <v>4116</v>
      </c>
      <c r="BD77" t="s">
        <v>74</v>
      </c>
      <c r="BE77" t="s">
        <v>848</v>
      </c>
      <c r="BF77" t="str">
        <f>HYPERLINK("http://dx.doi.org/10.1109/igarss.2019.8898406","http://dx.doi.org/10.1109/igarss.2019.8898406")</f>
        <v>http://dx.doi.org/10.1109/igarss.2019.8898406</v>
      </c>
      <c r="BG77" t="s">
        <v>74</v>
      </c>
      <c r="BH77" t="s">
        <v>74</v>
      </c>
      <c r="BI77" t="s">
        <v>74</v>
      </c>
      <c r="BJ77" t="s">
        <v>74</v>
      </c>
      <c r="BK77" t="s">
        <v>74</v>
      </c>
      <c r="BL77" t="s">
        <v>74</v>
      </c>
      <c r="BM77" t="s">
        <v>74</v>
      </c>
      <c r="BN77" t="s">
        <v>74</v>
      </c>
      <c r="BO77" t="s">
        <v>74</v>
      </c>
      <c r="BP77" t="s">
        <v>74</v>
      </c>
      <c r="BQ77" t="s">
        <v>74</v>
      </c>
      <c r="BR77" t="s">
        <v>74</v>
      </c>
      <c r="BS77" t="s">
        <v>849</v>
      </c>
      <c r="BT77" t="str">
        <f>HYPERLINK("https%3A%2F%2Fwww.webofscience.com%2Fwos%2Fwoscc%2Ffull-record%2FWOS:000519270604013","View Full Record in Web of Science")</f>
        <v>View Full Record in Web of Science</v>
      </c>
    </row>
    <row r="78" spans="1:72" x14ac:dyDescent="0.15">
      <c r="A78" t="s">
        <v>72</v>
      </c>
      <c r="B78" t="s">
        <v>850</v>
      </c>
      <c r="C78" t="s">
        <v>74</v>
      </c>
      <c r="D78" t="s">
        <v>74</v>
      </c>
      <c r="E78" t="s">
        <v>74</v>
      </c>
      <c r="F78" t="s">
        <v>851</v>
      </c>
      <c r="G78" t="s">
        <v>74</v>
      </c>
      <c r="H78" t="s">
        <v>74</v>
      </c>
      <c r="I78" t="s">
        <v>852</v>
      </c>
      <c r="J78" t="s">
        <v>122</v>
      </c>
      <c r="K78" t="s">
        <v>74</v>
      </c>
      <c r="L78" t="s">
        <v>74</v>
      </c>
      <c r="M78" t="s">
        <v>74</v>
      </c>
      <c r="N78" t="s">
        <v>74</v>
      </c>
      <c r="O78" t="s">
        <v>74</v>
      </c>
      <c r="P78" t="s">
        <v>74</v>
      </c>
      <c r="Q78" t="s">
        <v>74</v>
      </c>
      <c r="R78" t="s">
        <v>74</v>
      </c>
      <c r="S78" t="s">
        <v>74</v>
      </c>
      <c r="T78" t="s">
        <v>74</v>
      </c>
      <c r="U78" t="s">
        <v>74</v>
      </c>
      <c r="V78" t="s">
        <v>853</v>
      </c>
      <c r="W78" t="s">
        <v>74</v>
      </c>
      <c r="X78" t="s">
        <v>74</v>
      </c>
      <c r="Y78" t="s">
        <v>74</v>
      </c>
      <c r="Z78" t="s">
        <v>74</v>
      </c>
      <c r="AA78" t="s">
        <v>854</v>
      </c>
      <c r="AB78" t="s">
        <v>855</v>
      </c>
      <c r="AC78" t="s">
        <v>74</v>
      </c>
      <c r="AD78" t="s">
        <v>74</v>
      </c>
      <c r="AE78" t="s">
        <v>74</v>
      </c>
      <c r="AF78" t="s">
        <v>74</v>
      </c>
      <c r="AG78" t="s">
        <v>74</v>
      </c>
      <c r="AH78" t="s">
        <v>74</v>
      </c>
      <c r="AI78" t="s">
        <v>74</v>
      </c>
      <c r="AJ78" t="s">
        <v>74</v>
      </c>
      <c r="AK78" t="s">
        <v>74</v>
      </c>
      <c r="AL78" t="s">
        <v>74</v>
      </c>
      <c r="AM78" t="s">
        <v>74</v>
      </c>
      <c r="AN78" t="s">
        <v>74</v>
      </c>
      <c r="AO78" t="s">
        <v>126</v>
      </c>
      <c r="AP78" t="s">
        <v>127</v>
      </c>
      <c r="AQ78" t="s">
        <v>74</v>
      </c>
      <c r="AR78" t="s">
        <v>74</v>
      </c>
      <c r="AS78" t="s">
        <v>74</v>
      </c>
      <c r="AT78" t="s">
        <v>675</v>
      </c>
      <c r="AU78">
        <v>2018</v>
      </c>
      <c r="AV78">
        <v>210</v>
      </c>
      <c r="AW78" t="s">
        <v>74</v>
      </c>
      <c r="AX78" t="s">
        <v>74</v>
      </c>
      <c r="AY78" t="s">
        <v>74</v>
      </c>
      <c r="AZ78" t="s">
        <v>74</v>
      </c>
      <c r="BA78" t="s">
        <v>74</v>
      </c>
      <c r="BB78">
        <v>48</v>
      </c>
      <c r="BC78">
        <v>64</v>
      </c>
      <c r="BD78" t="s">
        <v>74</v>
      </c>
      <c r="BE78" t="s">
        <v>856</v>
      </c>
      <c r="BF78" t="str">
        <f>HYPERLINK("http://dx.doi.org/10.1016/j.rse.2018.03.008","http://dx.doi.org/10.1016/j.rse.2018.03.008")</f>
        <v>http://dx.doi.org/10.1016/j.rse.2018.03.008</v>
      </c>
      <c r="BG78" t="s">
        <v>74</v>
      </c>
      <c r="BH78" t="s">
        <v>74</v>
      </c>
      <c r="BI78" t="s">
        <v>74</v>
      </c>
      <c r="BJ78" t="s">
        <v>74</v>
      </c>
      <c r="BK78" t="s">
        <v>74</v>
      </c>
      <c r="BL78" t="s">
        <v>74</v>
      </c>
      <c r="BM78" t="s">
        <v>74</v>
      </c>
      <c r="BN78" t="s">
        <v>74</v>
      </c>
      <c r="BO78" t="s">
        <v>74</v>
      </c>
      <c r="BP78" t="s">
        <v>74</v>
      </c>
      <c r="BQ78" t="s">
        <v>74</v>
      </c>
      <c r="BR78" t="s">
        <v>74</v>
      </c>
      <c r="BS78" t="s">
        <v>857</v>
      </c>
      <c r="BT78" t="str">
        <f>HYPERLINK("https%3A%2F%2Fwww.webofscience.com%2Fwos%2Fwoscc%2Ffull-record%2FWOS:000431164300005","View Full Record in Web of Science")</f>
        <v>View Full Record in Web of Science</v>
      </c>
    </row>
    <row r="79" spans="1:72" x14ac:dyDescent="0.15">
      <c r="A79" t="s">
        <v>72</v>
      </c>
      <c r="B79" t="s">
        <v>858</v>
      </c>
      <c r="C79" t="s">
        <v>74</v>
      </c>
      <c r="D79" t="s">
        <v>74</v>
      </c>
      <c r="E79" t="s">
        <v>74</v>
      </c>
      <c r="F79" t="s">
        <v>859</v>
      </c>
      <c r="G79" t="s">
        <v>74</v>
      </c>
      <c r="H79" t="s">
        <v>74</v>
      </c>
      <c r="I79" t="s">
        <v>860</v>
      </c>
      <c r="J79" t="s">
        <v>77</v>
      </c>
      <c r="K79" t="s">
        <v>74</v>
      </c>
      <c r="L79" t="s">
        <v>74</v>
      </c>
      <c r="M79" t="s">
        <v>74</v>
      </c>
      <c r="N79" t="s">
        <v>74</v>
      </c>
      <c r="O79" t="s">
        <v>74</v>
      </c>
      <c r="P79" t="s">
        <v>74</v>
      </c>
      <c r="Q79" t="s">
        <v>74</v>
      </c>
      <c r="R79" t="s">
        <v>74</v>
      </c>
      <c r="S79" t="s">
        <v>74</v>
      </c>
      <c r="T79" t="s">
        <v>74</v>
      </c>
      <c r="U79" t="s">
        <v>74</v>
      </c>
      <c r="V79" t="s">
        <v>861</v>
      </c>
      <c r="W79" t="s">
        <v>74</v>
      </c>
      <c r="X79" t="s">
        <v>74</v>
      </c>
      <c r="Y79" t="s">
        <v>74</v>
      </c>
      <c r="Z79" t="s">
        <v>74</v>
      </c>
      <c r="AA79" t="s">
        <v>862</v>
      </c>
      <c r="AB79" t="s">
        <v>863</v>
      </c>
      <c r="AC79" t="s">
        <v>74</v>
      </c>
      <c r="AD79" t="s">
        <v>74</v>
      </c>
      <c r="AE79" t="s">
        <v>74</v>
      </c>
      <c r="AF79" t="s">
        <v>74</v>
      </c>
      <c r="AG79" t="s">
        <v>74</v>
      </c>
      <c r="AH79" t="s">
        <v>74</v>
      </c>
      <c r="AI79" t="s">
        <v>74</v>
      </c>
      <c r="AJ79" t="s">
        <v>74</v>
      </c>
      <c r="AK79" t="s">
        <v>74</v>
      </c>
      <c r="AL79" t="s">
        <v>74</v>
      </c>
      <c r="AM79" t="s">
        <v>74</v>
      </c>
      <c r="AN79" t="s">
        <v>74</v>
      </c>
      <c r="AO79" t="s">
        <v>79</v>
      </c>
      <c r="AP79" t="s">
        <v>80</v>
      </c>
      <c r="AQ79" t="s">
        <v>74</v>
      </c>
      <c r="AR79" t="s">
        <v>74</v>
      </c>
      <c r="AS79" t="s">
        <v>74</v>
      </c>
      <c r="AT79" t="s">
        <v>864</v>
      </c>
      <c r="AU79">
        <v>2018</v>
      </c>
      <c r="AV79">
        <v>12</v>
      </c>
      <c r="AW79">
        <v>5</v>
      </c>
      <c r="AX79" t="s">
        <v>74</v>
      </c>
      <c r="AY79" t="s">
        <v>74</v>
      </c>
      <c r="AZ79" t="s">
        <v>74</v>
      </c>
      <c r="BA79" t="s">
        <v>74</v>
      </c>
      <c r="BB79">
        <v>1579</v>
      </c>
      <c r="BC79">
        <v>1594</v>
      </c>
      <c r="BD79" t="s">
        <v>74</v>
      </c>
      <c r="BE79" t="s">
        <v>865</v>
      </c>
      <c r="BF79" t="str">
        <f>HYPERLINK("http://dx.doi.org/10.5194/tc-12-1579-2018","http://dx.doi.org/10.5194/tc-12-1579-2018")</f>
        <v>http://dx.doi.org/10.5194/tc-12-1579-2018</v>
      </c>
      <c r="BG79" t="s">
        <v>74</v>
      </c>
      <c r="BH79" t="s">
        <v>74</v>
      </c>
      <c r="BI79" t="s">
        <v>74</v>
      </c>
      <c r="BJ79" t="s">
        <v>74</v>
      </c>
      <c r="BK79" t="s">
        <v>74</v>
      </c>
      <c r="BL79" t="s">
        <v>74</v>
      </c>
      <c r="BM79" t="s">
        <v>74</v>
      </c>
      <c r="BN79" t="s">
        <v>74</v>
      </c>
      <c r="BO79" t="s">
        <v>74</v>
      </c>
      <c r="BP79" t="s">
        <v>74</v>
      </c>
      <c r="BQ79" t="s">
        <v>74</v>
      </c>
      <c r="BR79" t="s">
        <v>74</v>
      </c>
      <c r="BS79" t="s">
        <v>866</v>
      </c>
      <c r="BT79" t="str">
        <f>HYPERLINK("https%3A%2F%2Fwww.webofscience.com%2Fwos%2Fwoscc%2Ffull-record%2FWOS:000431368300002","View Full Record in Web of Science")</f>
        <v>View Full Record in Web of Science</v>
      </c>
    </row>
    <row r="80" spans="1:72" x14ac:dyDescent="0.15">
      <c r="A80" t="s">
        <v>252</v>
      </c>
      <c r="B80" t="s">
        <v>867</v>
      </c>
      <c r="C80" t="s">
        <v>74</v>
      </c>
      <c r="D80" t="s">
        <v>74</v>
      </c>
      <c r="E80" t="s">
        <v>254</v>
      </c>
      <c r="F80" t="s">
        <v>868</v>
      </c>
      <c r="G80" t="s">
        <v>74</v>
      </c>
      <c r="H80" t="s">
        <v>74</v>
      </c>
      <c r="I80" t="s">
        <v>869</v>
      </c>
      <c r="J80" t="s">
        <v>870</v>
      </c>
      <c r="K80" t="s">
        <v>258</v>
      </c>
      <c r="L80" t="s">
        <v>74</v>
      </c>
      <c r="M80" t="s">
        <v>74</v>
      </c>
      <c r="N80" t="s">
        <v>74</v>
      </c>
      <c r="O80" t="s">
        <v>871</v>
      </c>
      <c r="P80" t="s">
        <v>872</v>
      </c>
      <c r="Q80" t="s">
        <v>873</v>
      </c>
      <c r="R80" t="s">
        <v>874</v>
      </c>
      <c r="S80" t="s">
        <v>74</v>
      </c>
      <c r="T80" t="s">
        <v>74</v>
      </c>
      <c r="U80" t="s">
        <v>74</v>
      </c>
      <c r="V80" t="s">
        <v>875</v>
      </c>
      <c r="W80" t="s">
        <v>74</v>
      </c>
      <c r="X80" t="s">
        <v>74</v>
      </c>
      <c r="Y80" t="s">
        <v>74</v>
      </c>
      <c r="Z80" t="s">
        <v>74</v>
      </c>
      <c r="AA80" t="s">
        <v>876</v>
      </c>
      <c r="AB80" t="s">
        <v>877</v>
      </c>
      <c r="AC80" t="s">
        <v>74</v>
      </c>
      <c r="AD80" t="s">
        <v>74</v>
      </c>
      <c r="AE80" t="s">
        <v>74</v>
      </c>
      <c r="AF80" t="s">
        <v>74</v>
      </c>
      <c r="AG80" t="s">
        <v>74</v>
      </c>
      <c r="AH80" t="s">
        <v>74</v>
      </c>
      <c r="AI80" t="s">
        <v>74</v>
      </c>
      <c r="AJ80" t="s">
        <v>74</v>
      </c>
      <c r="AK80" t="s">
        <v>74</v>
      </c>
      <c r="AL80" t="s">
        <v>74</v>
      </c>
      <c r="AM80" t="s">
        <v>74</v>
      </c>
      <c r="AN80" t="s">
        <v>74</v>
      </c>
      <c r="AO80" t="s">
        <v>265</v>
      </c>
      <c r="AP80" t="s">
        <v>74</v>
      </c>
      <c r="AQ80" t="s">
        <v>878</v>
      </c>
      <c r="AR80" t="s">
        <v>74</v>
      </c>
      <c r="AS80" t="s">
        <v>74</v>
      </c>
      <c r="AT80" t="s">
        <v>74</v>
      </c>
      <c r="AU80">
        <v>2018</v>
      </c>
      <c r="AV80" t="s">
        <v>74</v>
      </c>
      <c r="AW80" t="s">
        <v>74</v>
      </c>
      <c r="AX80" t="s">
        <v>74</v>
      </c>
      <c r="AY80" t="s">
        <v>74</v>
      </c>
      <c r="AZ80" t="s">
        <v>74</v>
      </c>
      <c r="BA80" t="s">
        <v>74</v>
      </c>
      <c r="BB80">
        <v>6247</v>
      </c>
      <c r="BC80">
        <v>6250</v>
      </c>
      <c r="BD80" t="s">
        <v>74</v>
      </c>
      <c r="BE80" t="s">
        <v>74</v>
      </c>
      <c r="BF80" t="s">
        <v>74</v>
      </c>
      <c r="BG80" t="s">
        <v>74</v>
      </c>
      <c r="BH80" t="s">
        <v>74</v>
      </c>
      <c r="BI80" t="s">
        <v>74</v>
      </c>
      <c r="BJ80" t="s">
        <v>74</v>
      </c>
      <c r="BK80" t="s">
        <v>74</v>
      </c>
      <c r="BL80" t="s">
        <v>74</v>
      </c>
      <c r="BM80" t="s">
        <v>74</v>
      </c>
      <c r="BN80" t="s">
        <v>74</v>
      </c>
      <c r="BO80" t="s">
        <v>74</v>
      </c>
      <c r="BP80" t="s">
        <v>74</v>
      </c>
      <c r="BQ80" t="s">
        <v>74</v>
      </c>
      <c r="BR80" t="s">
        <v>74</v>
      </c>
      <c r="BS80" t="s">
        <v>879</v>
      </c>
      <c r="BT80" t="str">
        <f>HYPERLINK("https%3A%2F%2Fwww.webofscience.com%2Fwos%2Fwoscc%2Ffull-record%2FWOS:000451039806010","View Full Record in Web of Science")</f>
        <v>View Full Record in Web of Science</v>
      </c>
    </row>
    <row r="81" spans="1:72" x14ac:dyDescent="0.15">
      <c r="A81" t="s">
        <v>252</v>
      </c>
      <c r="B81" t="s">
        <v>880</v>
      </c>
      <c r="C81" t="s">
        <v>74</v>
      </c>
      <c r="D81" t="s">
        <v>74</v>
      </c>
      <c r="E81" t="s">
        <v>254</v>
      </c>
      <c r="F81" t="s">
        <v>881</v>
      </c>
      <c r="G81" t="s">
        <v>74</v>
      </c>
      <c r="H81" t="s">
        <v>74</v>
      </c>
      <c r="I81" t="s">
        <v>882</v>
      </c>
      <c r="J81" t="s">
        <v>870</v>
      </c>
      <c r="K81" t="s">
        <v>258</v>
      </c>
      <c r="L81" t="s">
        <v>74</v>
      </c>
      <c r="M81" t="s">
        <v>74</v>
      </c>
      <c r="N81" t="s">
        <v>74</v>
      </c>
      <c r="O81" t="s">
        <v>871</v>
      </c>
      <c r="P81" t="s">
        <v>872</v>
      </c>
      <c r="Q81" t="s">
        <v>873</v>
      </c>
      <c r="R81" t="s">
        <v>874</v>
      </c>
      <c r="S81" t="s">
        <v>74</v>
      </c>
      <c r="T81" t="s">
        <v>74</v>
      </c>
      <c r="U81" t="s">
        <v>74</v>
      </c>
      <c r="V81" t="s">
        <v>883</v>
      </c>
      <c r="W81" t="s">
        <v>74</v>
      </c>
      <c r="X81" t="s">
        <v>74</v>
      </c>
      <c r="Y81" t="s">
        <v>74</v>
      </c>
      <c r="Z81" t="s">
        <v>74</v>
      </c>
      <c r="AA81" t="s">
        <v>884</v>
      </c>
      <c r="AB81" t="s">
        <v>885</v>
      </c>
      <c r="AC81" t="s">
        <v>74</v>
      </c>
      <c r="AD81" t="s">
        <v>74</v>
      </c>
      <c r="AE81" t="s">
        <v>74</v>
      </c>
      <c r="AF81" t="s">
        <v>74</v>
      </c>
      <c r="AG81" t="s">
        <v>74</v>
      </c>
      <c r="AH81" t="s">
        <v>74</v>
      </c>
      <c r="AI81" t="s">
        <v>74</v>
      </c>
      <c r="AJ81" t="s">
        <v>74</v>
      </c>
      <c r="AK81" t="s">
        <v>74</v>
      </c>
      <c r="AL81" t="s">
        <v>74</v>
      </c>
      <c r="AM81" t="s">
        <v>74</v>
      </c>
      <c r="AN81" t="s">
        <v>74</v>
      </c>
      <c r="AO81" t="s">
        <v>265</v>
      </c>
      <c r="AP81" t="s">
        <v>74</v>
      </c>
      <c r="AQ81" t="s">
        <v>878</v>
      </c>
      <c r="AR81" t="s">
        <v>74</v>
      </c>
      <c r="AS81" t="s">
        <v>74</v>
      </c>
      <c r="AT81" t="s">
        <v>74</v>
      </c>
      <c r="AU81">
        <v>2018</v>
      </c>
      <c r="AV81" t="s">
        <v>74</v>
      </c>
      <c r="AW81" t="s">
        <v>74</v>
      </c>
      <c r="AX81" t="s">
        <v>74</v>
      </c>
      <c r="AY81" t="s">
        <v>74</v>
      </c>
      <c r="AZ81" t="s">
        <v>74</v>
      </c>
      <c r="BA81" t="s">
        <v>74</v>
      </c>
      <c r="BB81">
        <v>6291</v>
      </c>
      <c r="BC81">
        <v>6293</v>
      </c>
      <c r="BD81" t="s">
        <v>74</v>
      </c>
      <c r="BE81" t="s">
        <v>74</v>
      </c>
      <c r="BF81" t="s">
        <v>74</v>
      </c>
      <c r="BG81" t="s">
        <v>74</v>
      </c>
      <c r="BH81" t="s">
        <v>74</v>
      </c>
      <c r="BI81" t="s">
        <v>74</v>
      </c>
      <c r="BJ81" t="s">
        <v>74</v>
      </c>
      <c r="BK81" t="s">
        <v>74</v>
      </c>
      <c r="BL81" t="s">
        <v>74</v>
      </c>
      <c r="BM81" t="s">
        <v>74</v>
      </c>
      <c r="BN81" t="s">
        <v>74</v>
      </c>
      <c r="BO81" t="s">
        <v>74</v>
      </c>
      <c r="BP81" t="s">
        <v>74</v>
      </c>
      <c r="BQ81" t="s">
        <v>74</v>
      </c>
      <c r="BR81" t="s">
        <v>74</v>
      </c>
      <c r="BS81" t="s">
        <v>886</v>
      </c>
      <c r="BT81" t="str">
        <f>HYPERLINK("https%3A%2F%2Fwww.webofscience.com%2Fwos%2Fwoscc%2Ffull-record%2FWOS:000451039806022","View Full Record in Web of Science")</f>
        <v>View Full Record in Web of Science</v>
      </c>
    </row>
    <row r="82" spans="1:72" x14ac:dyDescent="0.15">
      <c r="A82" t="s">
        <v>252</v>
      </c>
      <c r="B82" t="s">
        <v>887</v>
      </c>
      <c r="C82" t="s">
        <v>74</v>
      </c>
      <c r="D82" t="s">
        <v>74</v>
      </c>
      <c r="E82" t="s">
        <v>254</v>
      </c>
      <c r="F82" t="s">
        <v>888</v>
      </c>
      <c r="G82" t="s">
        <v>74</v>
      </c>
      <c r="H82" t="s">
        <v>74</v>
      </c>
      <c r="I82" t="s">
        <v>889</v>
      </c>
      <c r="J82" t="s">
        <v>890</v>
      </c>
      <c r="K82" t="s">
        <v>258</v>
      </c>
      <c r="L82" t="s">
        <v>74</v>
      </c>
      <c r="M82" t="s">
        <v>74</v>
      </c>
      <c r="N82" t="s">
        <v>74</v>
      </c>
      <c r="O82" t="s">
        <v>388</v>
      </c>
      <c r="P82" t="s">
        <v>891</v>
      </c>
      <c r="Q82" t="s">
        <v>892</v>
      </c>
      <c r="R82" t="s">
        <v>893</v>
      </c>
      <c r="S82" t="s">
        <v>74</v>
      </c>
      <c r="T82" t="s">
        <v>74</v>
      </c>
      <c r="U82" t="s">
        <v>74</v>
      </c>
      <c r="V82" t="s">
        <v>894</v>
      </c>
      <c r="W82" t="s">
        <v>74</v>
      </c>
      <c r="X82" t="s">
        <v>74</v>
      </c>
      <c r="Y82" t="s">
        <v>74</v>
      </c>
      <c r="Z82" t="s">
        <v>74</v>
      </c>
      <c r="AA82" t="s">
        <v>795</v>
      </c>
      <c r="AB82" t="s">
        <v>895</v>
      </c>
      <c r="AC82" t="s">
        <v>74</v>
      </c>
      <c r="AD82" t="s">
        <v>74</v>
      </c>
      <c r="AE82" t="s">
        <v>74</v>
      </c>
      <c r="AF82" t="s">
        <v>74</v>
      </c>
      <c r="AG82" t="s">
        <v>74</v>
      </c>
      <c r="AH82" t="s">
        <v>74</v>
      </c>
      <c r="AI82" t="s">
        <v>74</v>
      </c>
      <c r="AJ82" t="s">
        <v>74</v>
      </c>
      <c r="AK82" t="s">
        <v>74</v>
      </c>
      <c r="AL82" t="s">
        <v>74</v>
      </c>
      <c r="AM82" t="s">
        <v>74</v>
      </c>
      <c r="AN82" t="s">
        <v>74</v>
      </c>
      <c r="AO82" t="s">
        <v>265</v>
      </c>
      <c r="AP82" t="s">
        <v>74</v>
      </c>
      <c r="AQ82" t="s">
        <v>896</v>
      </c>
      <c r="AR82" t="s">
        <v>74</v>
      </c>
      <c r="AS82" t="s">
        <v>74</v>
      </c>
      <c r="AT82" t="s">
        <v>74</v>
      </c>
      <c r="AU82">
        <v>2017</v>
      </c>
      <c r="AV82" t="s">
        <v>74</v>
      </c>
      <c r="AW82" t="s">
        <v>74</v>
      </c>
      <c r="AX82" t="s">
        <v>74</v>
      </c>
      <c r="AY82" t="s">
        <v>74</v>
      </c>
      <c r="AZ82" t="s">
        <v>74</v>
      </c>
      <c r="BA82" t="s">
        <v>74</v>
      </c>
      <c r="BB82">
        <v>311</v>
      </c>
      <c r="BC82">
        <v>314</v>
      </c>
      <c r="BD82" t="s">
        <v>74</v>
      </c>
      <c r="BE82" t="s">
        <v>74</v>
      </c>
      <c r="BF82" t="s">
        <v>74</v>
      </c>
      <c r="BG82" t="s">
        <v>74</v>
      </c>
      <c r="BH82" t="s">
        <v>74</v>
      </c>
      <c r="BI82" t="s">
        <v>74</v>
      </c>
      <c r="BJ82" t="s">
        <v>74</v>
      </c>
      <c r="BK82" t="s">
        <v>74</v>
      </c>
      <c r="BL82" t="s">
        <v>74</v>
      </c>
      <c r="BM82" t="s">
        <v>74</v>
      </c>
      <c r="BN82" t="s">
        <v>74</v>
      </c>
      <c r="BO82" t="s">
        <v>74</v>
      </c>
      <c r="BP82" t="s">
        <v>74</v>
      </c>
      <c r="BQ82" t="s">
        <v>74</v>
      </c>
      <c r="BR82" t="s">
        <v>74</v>
      </c>
      <c r="BS82" t="s">
        <v>897</v>
      </c>
      <c r="BT82" t="str">
        <f>HYPERLINK("https%3A%2F%2Fwww.webofscience.com%2Fwos%2Fwoscc%2Ffull-record%2FWOS:000426954600081","View Full Record in Web of Science")</f>
        <v>View Full Record in Web of Science</v>
      </c>
    </row>
    <row r="83" spans="1:72" x14ac:dyDescent="0.15">
      <c r="A83" t="s">
        <v>72</v>
      </c>
      <c r="B83" t="s">
        <v>887</v>
      </c>
      <c r="C83" t="s">
        <v>74</v>
      </c>
      <c r="D83" t="s">
        <v>74</v>
      </c>
      <c r="E83" t="s">
        <v>74</v>
      </c>
      <c r="F83" t="s">
        <v>888</v>
      </c>
      <c r="G83" t="s">
        <v>74</v>
      </c>
      <c r="H83" t="s">
        <v>74</v>
      </c>
      <c r="I83" t="s">
        <v>898</v>
      </c>
      <c r="J83" t="s">
        <v>122</v>
      </c>
      <c r="K83" t="s">
        <v>74</v>
      </c>
      <c r="L83" t="s">
        <v>74</v>
      </c>
      <c r="M83" t="s">
        <v>74</v>
      </c>
      <c r="N83" t="s">
        <v>74</v>
      </c>
      <c r="O83" t="s">
        <v>74</v>
      </c>
      <c r="P83" t="s">
        <v>74</v>
      </c>
      <c r="Q83" t="s">
        <v>74</v>
      </c>
      <c r="R83" t="s">
        <v>74</v>
      </c>
      <c r="S83" t="s">
        <v>74</v>
      </c>
      <c r="T83" t="s">
        <v>74</v>
      </c>
      <c r="U83" t="s">
        <v>74</v>
      </c>
      <c r="V83" t="s">
        <v>899</v>
      </c>
      <c r="W83" t="s">
        <v>74</v>
      </c>
      <c r="X83" t="s">
        <v>74</v>
      </c>
      <c r="Y83" t="s">
        <v>74</v>
      </c>
      <c r="Z83" t="s">
        <v>74</v>
      </c>
      <c r="AA83" t="s">
        <v>795</v>
      </c>
      <c r="AB83" t="s">
        <v>895</v>
      </c>
      <c r="AC83" t="s">
        <v>74</v>
      </c>
      <c r="AD83" t="s">
        <v>74</v>
      </c>
      <c r="AE83" t="s">
        <v>74</v>
      </c>
      <c r="AF83" t="s">
        <v>74</v>
      </c>
      <c r="AG83" t="s">
        <v>74</v>
      </c>
      <c r="AH83" t="s">
        <v>74</v>
      </c>
      <c r="AI83" t="s">
        <v>74</v>
      </c>
      <c r="AJ83" t="s">
        <v>74</v>
      </c>
      <c r="AK83" t="s">
        <v>74</v>
      </c>
      <c r="AL83" t="s">
        <v>74</v>
      </c>
      <c r="AM83" t="s">
        <v>74</v>
      </c>
      <c r="AN83" t="s">
        <v>74</v>
      </c>
      <c r="AO83" t="s">
        <v>126</v>
      </c>
      <c r="AP83" t="s">
        <v>127</v>
      </c>
      <c r="AQ83" t="s">
        <v>74</v>
      </c>
      <c r="AR83" t="s">
        <v>74</v>
      </c>
      <c r="AS83" t="s">
        <v>74</v>
      </c>
      <c r="AT83" t="s">
        <v>128</v>
      </c>
      <c r="AU83">
        <v>2015</v>
      </c>
      <c r="AV83">
        <v>170</v>
      </c>
      <c r="AW83" t="s">
        <v>74</v>
      </c>
      <c r="AX83" t="s">
        <v>74</v>
      </c>
      <c r="AY83" t="s">
        <v>74</v>
      </c>
      <c r="AZ83" t="s">
        <v>74</v>
      </c>
      <c r="BA83" t="s">
        <v>74</v>
      </c>
      <c r="BB83">
        <v>153</v>
      </c>
      <c r="BC83">
        <v>165</v>
      </c>
      <c r="BD83" t="s">
        <v>74</v>
      </c>
      <c r="BE83" t="s">
        <v>900</v>
      </c>
      <c r="BF83" t="str">
        <f>HYPERLINK("http://dx.doi.org/10.1016/j.rse.2015.09.009","http://dx.doi.org/10.1016/j.rse.2015.09.009")</f>
        <v>http://dx.doi.org/10.1016/j.rse.2015.09.009</v>
      </c>
      <c r="BG83" t="s">
        <v>74</v>
      </c>
      <c r="BH83" t="s">
        <v>74</v>
      </c>
      <c r="BI83" t="s">
        <v>74</v>
      </c>
      <c r="BJ83" t="s">
        <v>74</v>
      </c>
      <c r="BK83" t="s">
        <v>74</v>
      </c>
      <c r="BL83" t="s">
        <v>74</v>
      </c>
      <c r="BM83" t="s">
        <v>74</v>
      </c>
      <c r="BN83" t="s">
        <v>74</v>
      </c>
      <c r="BO83" t="s">
        <v>74</v>
      </c>
      <c r="BP83" t="s">
        <v>74</v>
      </c>
      <c r="BQ83" t="s">
        <v>74</v>
      </c>
      <c r="BR83" t="s">
        <v>74</v>
      </c>
      <c r="BS83" t="s">
        <v>901</v>
      </c>
      <c r="BT83" t="str">
        <f>HYPERLINK("https%3A%2F%2Fwww.webofscience.com%2Fwos%2Fwoscc%2Ffull-record%2FWOS:000364726100014","View Full Record in Web of Science")</f>
        <v>View Full Record in Web of Science</v>
      </c>
    </row>
    <row r="84" spans="1:72" x14ac:dyDescent="0.15">
      <c r="A84" t="s">
        <v>72</v>
      </c>
      <c r="B84" t="s">
        <v>902</v>
      </c>
      <c r="C84" t="s">
        <v>74</v>
      </c>
      <c r="D84" t="s">
        <v>74</v>
      </c>
      <c r="E84" t="s">
        <v>74</v>
      </c>
      <c r="F84" t="s">
        <v>903</v>
      </c>
      <c r="G84" t="s">
        <v>74</v>
      </c>
      <c r="H84" t="s">
        <v>74</v>
      </c>
      <c r="I84" t="s">
        <v>904</v>
      </c>
      <c r="J84" t="s">
        <v>122</v>
      </c>
      <c r="K84" t="s">
        <v>74</v>
      </c>
      <c r="L84" t="s">
        <v>74</v>
      </c>
      <c r="M84" t="s">
        <v>74</v>
      </c>
      <c r="N84" t="s">
        <v>74</v>
      </c>
      <c r="O84" t="s">
        <v>74</v>
      </c>
      <c r="P84" t="s">
        <v>74</v>
      </c>
      <c r="Q84" t="s">
        <v>74</v>
      </c>
      <c r="R84" t="s">
        <v>74</v>
      </c>
      <c r="S84" t="s">
        <v>74</v>
      </c>
      <c r="T84" t="s">
        <v>74</v>
      </c>
      <c r="U84" t="s">
        <v>74</v>
      </c>
      <c r="V84" t="s">
        <v>905</v>
      </c>
      <c r="W84" t="s">
        <v>74</v>
      </c>
      <c r="X84" t="s">
        <v>74</v>
      </c>
      <c r="Y84" t="s">
        <v>74</v>
      </c>
      <c r="Z84" t="s">
        <v>74</v>
      </c>
      <c r="AA84" t="s">
        <v>906</v>
      </c>
      <c r="AB84" t="s">
        <v>907</v>
      </c>
      <c r="AC84" t="s">
        <v>74</v>
      </c>
      <c r="AD84" t="s">
        <v>74</v>
      </c>
      <c r="AE84" t="s">
        <v>74</v>
      </c>
      <c r="AF84" t="s">
        <v>74</v>
      </c>
      <c r="AG84" t="s">
        <v>74</v>
      </c>
      <c r="AH84" t="s">
        <v>74</v>
      </c>
      <c r="AI84" t="s">
        <v>74</v>
      </c>
      <c r="AJ84" t="s">
        <v>74</v>
      </c>
      <c r="AK84" t="s">
        <v>74</v>
      </c>
      <c r="AL84" t="s">
        <v>74</v>
      </c>
      <c r="AM84" t="s">
        <v>74</v>
      </c>
      <c r="AN84" t="s">
        <v>74</v>
      </c>
      <c r="AO84" t="s">
        <v>126</v>
      </c>
      <c r="AP84" t="s">
        <v>127</v>
      </c>
      <c r="AQ84" t="s">
        <v>74</v>
      </c>
      <c r="AR84" t="s">
        <v>74</v>
      </c>
      <c r="AS84" t="s">
        <v>74</v>
      </c>
      <c r="AT84" t="s">
        <v>908</v>
      </c>
      <c r="AU84">
        <v>2011</v>
      </c>
      <c r="AV84">
        <v>115</v>
      </c>
      <c r="AW84">
        <v>12</v>
      </c>
      <c r="AX84" t="s">
        <v>74</v>
      </c>
      <c r="AY84" t="s">
        <v>74</v>
      </c>
      <c r="AZ84" t="s">
        <v>74</v>
      </c>
      <c r="BA84" t="s">
        <v>74</v>
      </c>
      <c r="BB84">
        <v>3355</v>
      </c>
      <c r="BC84">
        <v>3366</v>
      </c>
      <c r="BD84" t="s">
        <v>74</v>
      </c>
      <c r="BE84" t="s">
        <v>909</v>
      </c>
      <c r="BF84" t="str">
        <f>HYPERLINK("http://dx.doi.org/10.1016/j.rse.2011.07.018","http://dx.doi.org/10.1016/j.rse.2011.07.018")</f>
        <v>http://dx.doi.org/10.1016/j.rse.2011.07.018</v>
      </c>
      <c r="BG84" t="s">
        <v>74</v>
      </c>
      <c r="BH84" t="s">
        <v>74</v>
      </c>
      <c r="BI84" t="s">
        <v>74</v>
      </c>
      <c r="BJ84" t="s">
        <v>74</v>
      </c>
      <c r="BK84" t="s">
        <v>74</v>
      </c>
      <c r="BL84" t="s">
        <v>74</v>
      </c>
      <c r="BM84" t="s">
        <v>74</v>
      </c>
      <c r="BN84" t="s">
        <v>74</v>
      </c>
      <c r="BO84" t="s">
        <v>74</v>
      </c>
      <c r="BP84" t="s">
        <v>74</v>
      </c>
      <c r="BQ84" t="s">
        <v>74</v>
      </c>
      <c r="BR84" t="s">
        <v>74</v>
      </c>
      <c r="BS84" t="s">
        <v>910</v>
      </c>
      <c r="BT84" t="str">
        <f>HYPERLINK("https%3A%2F%2Fwww.webofscience.com%2Fwos%2Fwoscc%2Ffull-record%2FWOS:000298311300033","View Full Record in Web of Science")</f>
        <v>View Full Record in Web of Science</v>
      </c>
    </row>
    <row r="85" spans="1:72" x14ac:dyDescent="0.15">
      <c r="A85" t="s">
        <v>252</v>
      </c>
      <c r="B85" t="s">
        <v>911</v>
      </c>
      <c r="C85" t="s">
        <v>74</v>
      </c>
      <c r="D85" t="s">
        <v>912</v>
      </c>
      <c r="E85" t="s">
        <v>74</v>
      </c>
      <c r="F85" t="s">
        <v>911</v>
      </c>
      <c r="G85" t="s">
        <v>74</v>
      </c>
      <c r="H85" t="s">
        <v>74</v>
      </c>
      <c r="I85" t="s">
        <v>913</v>
      </c>
      <c r="J85" t="s">
        <v>914</v>
      </c>
      <c r="K85" t="s">
        <v>915</v>
      </c>
      <c r="L85" t="s">
        <v>74</v>
      </c>
      <c r="M85" t="s">
        <v>74</v>
      </c>
      <c r="N85" t="s">
        <v>74</v>
      </c>
      <c r="O85" t="s">
        <v>916</v>
      </c>
      <c r="P85" t="s">
        <v>917</v>
      </c>
      <c r="Q85" t="s">
        <v>918</v>
      </c>
      <c r="R85" t="s">
        <v>919</v>
      </c>
      <c r="S85" t="s">
        <v>74</v>
      </c>
      <c r="T85" t="s">
        <v>74</v>
      </c>
      <c r="U85" t="s">
        <v>74</v>
      </c>
      <c r="V85" t="s">
        <v>920</v>
      </c>
      <c r="W85" t="s">
        <v>74</v>
      </c>
      <c r="X85" t="s">
        <v>74</v>
      </c>
      <c r="Y85" t="s">
        <v>74</v>
      </c>
      <c r="Z85" t="s">
        <v>74</v>
      </c>
      <c r="AA85" t="s">
        <v>921</v>
      </c>
      <c r="AB85" t="s">
        <v>74</v>
      </c>
      <c r="AC85" t="s">
        <v>74</v>
      </c>
      <c r="AD85" t="s">
        <v>74</v>
      </c>
      <c r="AE85" t="s">
        <v>74</v>
      </c>
      <c r="AF85" t="s">
        <v>74</v>
      </c>
      <c r="AG85" t="s">
        <v>74</v>
      </c>
      <c r="AH85" t="s">
        <v>74</v>
      </c>
      <c r="AI85" t="s">
        <v>74</v>
      </c>
      <c r="AJ85" t="s">
        <v>74</v>
      </c>
      <c r="AK85" t="s">
        <v>74</v>
      </c>
      <c r="AL85" t="s">
        <v>74</v>
      </c>
      <c r="AM85" t="s">
        <v>74</v>
      </c>
      <c r="AN85" t="s">
        <v>74</v>
      </c>
      <c r="AO85" t="s">
        <v>74</v>
      </c>
      <c r="AP85" t="s">
        <v>74</v>
      </c>
      <c r="AQ85" t="s">
        <v>922</v>
      </c>
      <c r="AR85" t="s">
        <v>74</v>
      </c>
      <c r="AS85" t="s">
        <v>74</v>
      </c>
      <c r="AT85" t="s">
        <v>74</v>
      </c>
      <c r="AU85">
        <v>1998</v>
      </c>
      <c r="AV85" t="s">
        <v>74</v>
      </c>
      <c r="AW85" t="s">
        <v>74</v>
      </c>
      <c r="AX85" t="s">
        <v>74</v>
      </c>
      <c r="AY85" t="s">
        <v>74</v>
      </c>
      <c r="AZ85" t="s">
        <v>74</v>
      </c>
      <c r="BA85" t="s">
        <v>74</v>
      </c>
      <c r="BB85">
        <v>1258</v>
      </c>
      <c r="BC85">
        <v>1260</v>
      </c>
      <c r="BD85" t="s">
        <v>74</v>
      </c>
      <c r="BE85" t="s">
        <v>74</v>
      </c>
      <c r="BF85" t="s">
        <v>74</v>
      </c>
      <c r="BG85" t="s">
        <v>74</v>
      </c>
      <c r="BH85" t="s">
        <v>74</v>
      </c>
      <c r="BI85" t="s">
        <v>74</v>
      </c>
      <c r="BJ85" t="s">
        <v>74</v>
      </c>
      <c r="BK85" t="s">
        <v>74</v>
      </c>
      <c r="BL85" t="s">
        <v>74</v>
      </c>
      <c r="BM85" t="s">
        <v>74</v>
      </c>
      <c r="BN85" t="s">
        <v>74</v>
      </c>
      <c r="BO85" t="s">
        <v>74</v>
      </c>
      <c r="BP85" t="s">
        <v>74</v>
      </c>
      <c r="BQ85" t="s">
        <v>74</v>
      </c>
      <c r="BR85" t="s">
        <v>74</v>
      </c>
      <c r="BS85" t="s">
        <v>923</v>
      </c>
      <c r="BT85" t="str">
        <f>HYPERLINK("https%3A%2F%2Fwww.webofscience.com%2Fwos%2Fwoscc%2Ffull-record%2FWOS:000075217100408","View Full Record in Web of Science")</f>
        <v>View Full Record in Web of Science</v>
      </c>
    </row>
  </sheetData>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E5593-E5E0-ED44-AD65-DEE9AD90099E}">
  <dimension ref="A1:BT162"/>
  <sheetViews>
    <sheetView topLeftCell="A47" workbookViewId="0">
      <selection activeCell="N19" sqref="N19"/>
    </sheetView>
  </sheetViews>
  <sheetFormatPr baseColWidth="10" defaultRowHeight="13" x14ac:dyDescent="0.15"/>
  <sheetData>
    <row r="1" spans="1:72"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x14ac:dyDescent="0.15">
      <c r="A2" t="s">
        <v>72</v>
      </c>
      <c r="B2" t="s">
        <v>924</v>
      </c>
      <c r="C2" t="s">
        <v>74</v>
      </c>
      <c r="D2" t="s">
        <v>74</v>
      </c>
      <c r="E2" t="s">
        <v>74</v>
      </c>
      <c r="F2" t="s">
        <v>925</v>
      </c>
      <c r="G2" t="s">
        <v>74</v>
      </c>
      <c r="H2" t="s">
        <v>74</v>
      </c>
      <c r="I2" t="s">
        <v>926</v>
      </c>
      <c r="J2" t="s">
        <v>158</v>
      </c>
      <c r="K2" t="s">
        <v>74</v>
      </c>
      <c r="L2" t="s">
        <v>74</v>
      </c>
      <c r="M2" t="s">
        <v>74</v>
      </c>
      <c r="N2" t="s">
        <v>74</v>
      </c>
      <c r="O2" t="s">
        <v>74</v>
      </c>
      <c r="P2" t="s">
        <v>74</v>
      </c>
      <c r="Q2" t="s">
        <v>74</v>
      </c>
      <c r="R2" t="s">
        <v>74</v>
      </c>
      <c r="S2" t="s">
        <v>74</v>
      </c>
      <c r="T2" t="s">
        <v>74</v>
      </c>
      <c r="U2" t="s">
        <v>74</v>
      </c>
      <c r="V2" t="s">
        <v>927</v>
      </c>
      <c r="W2" t="s">
        <v>74</v>
      </c>
      <c r="X2" t="s">
        <v>74</v>
      </c>
      <c r="Y2" t="s">
        <v>74</v>
      </c>
      <c r="Z2" t="s">
        <v>74</v>
      </c>
      <c r="AA2" t="s">
        <v>928</v>
      </c>
      <c r="AB2" t="s">
        <v>74</v>
      </c>
      <c r="AC2" t="s">
        <v>74</v>
      </c>
      <c r="AD2" t="s">
        <v>74</v>
      </c>
      <c r="AE2" t="s">
        <v>74</v>
      </c>
      <c r="AF2" t="s">
        <v>74</v>
      </c>
      <c r="AG2" t="s">
        <v>74</v>
      </c>
      <c r="AH2" t="s">
        <v>74</v>
      </c>
      <c r="AI2" t="s">
        <v>74</v>
      </c>
      <c r="AJ2" t="s">
        <v>74</v>
      </c>
      <c r="AK2" t="s">
        <v>74</v>
      </c>
      <c r="AL2" t="s">
        <v>74</v>
      </c>
      <c r="AM2" t="s">
        <v>74</v>
      </c>
      <c r="AN2" t="s">
        <v>74</v>
      </c>
      <c r="AO2" t="s">
        <v>161</v>
      </c>
      <c r="AP2" t="s">
        <v>162</v>
      </c>
      <c r="AQ2" t="s">
        <v>74</v>
      </c>
      <c r="AR2" t="s">
        <v>74</v>
      </c>
      <c r="AS2" t="s">
        <v>74</v>
      </c>
      <c r="AT2" t="s">
        <v>219</v>
      </c>
      <c r="AU2">
        <v>2026</v>
      </c>
      <c r="AV2">
        <v>672</v>
      </c>
      <c r="AW2" t="s">
        <v>74</v>
      </c>
      <c r="AX2" t="s">
        <v>74</v>
      </c>
      <c r="AY2" t="s">
        <v>74</v>
      </c>
      <c r="AZ2" t="s">
        <v>74</v>
      </c>
      <c r="BA2" t="s">
        <v>74</v>
      </c>
      <c r="BB2" t="s">
        <v>74</v>
      </c>
      <c r="BC2" t="s">
        <v>74</v>
      </c>
      <c r="BD2">
        <v>135374</v>
      </c>
      <c r="BE2" t="s">
        <v>929</v>
      </c>
      <c r="BF2" t="str">
        <f>HYPERLINK("http://dx.doi.org/10.1016/j.jhydrol.2026.135374","http://dx.doi.org/10.1016/j.jhydrol.2026.135374")</f>
        <v>http://dx.doi.org/10.1016/j.jhydrol.2026.135374</v>
      </c>
      <c r="BG2" t="s">
        <v>74</v>
      </c>
      <c r="BH2" t="s">
        <v>74</v>
      </c>
      <c r="BI2" t="s">
        <v>74</v>
      </c>
      <c r="BJ2" t="s">
        <v>74</v>
      </c>
      <c r="BK2" t="s">
        <v>74</v>
      </c>
      <c r="BL2" t="s">
        <v>74</v>
      </c>
      <c r="BM2" t="s">
        <v>74</v>
      </c>
      <c r="BN2" t="s">
        <v>74</v>
      </c>
      <c r="BO2" t="s">
        <v>74</v>
      </c>
      <c r="BP2" t="s">
        <v>74</v>
      </c>
      <c r="BQ2" t="s">
        <v>74</v>
      </c>
      <c r="BR2" t="s">
        <v>74</v>
      </c>
      <c r="BS2" t="s">
        <v>930</v>
      </c>
      <c r="BT2" t="str">
        <f>HYPERLINK("https%3A%2F%2Fwww.webofscience.com%2Fwos%2Fwoscc%2Ffull-record%2FWOS:001732279600001","View Full Record in Web of Science")</f>
        <v>View Full Record in Web of Science</v>
      </c>
    </row>
    <row r="3" spans="1:72" x14ac:dyDescent="0.15">
      <c r="A3" t="s">
        <v>72</v>
      </c>
      <c r="B3" t="s">
        <v>931</v>
      </c>
      <c r="C3" t="s">
        <v>74</v>
      </c>
      <c r="D3" t="s">
        <v>74</v>
      </c>
      <c r="E3" t="s">
        <v>74</v>
      </c>
      <c r="F3" t="s">
        <v>932</v>
      </c>
      <c r="G3" t="s">
        <v>74</v>
      </c>
      <c r="H3" t="s">
        <v>74</v>
      </c>
      <c r="I3" t="s">
        <v>933</v>
      </c>
      <c r="J3" t="s">
        <v>147</v>
      </c>
      <c r="K3" t="s">
        <v>74</v>
      </c>
      <c r="L3" t="s">
        <v>74</v>
      </c>
      <c r="M3" t="s">
        <v>74</v>
      </c>
      <c r="N3" t="s">
        <v>74</v>
      </c>
      <c r="O3" t="s">
        <v>74</v>
      </c>
      <c r="P3" t="s">
        <v>74</v>
      </c>
      <c r="Q3" t="s">
        <v>74</v>
      </c>
      <c r="R3" t="s">
        <v>74</v>
      </c>
      <c r="S3" t="s">
        <v>74</v>
      </c>
      <c r="T3" t="s">
        <v>74</v>
      </c>
      <c r="U3" t="s">
        <v>74</v>
      </c>
      <c r="V3" t="s">
        <v>934</v>
      </c>
      <c r="W3" t="s">
        <v>74</v>
      </c>
      <c r="X3" t="s">
        <v>74</v>
      </c>
      <c r="Y3" t="s">
        <v>74</v>
      </c>
      <c r="Z3" t="s">
        <v>74</v>
      </c>
      <c r="AA3" t="s">
        <v>935</v>
      </c>
      <c r="AB3" t="s">
        <v>74</v>
      </c>
      <c r="AC3" t="s">
        <v>74</v>
      </c>
      <c r="AD3" t="s">
        <v>74</v>
      </c>
      <c r="AE3" t="s">
        <v>74</v>
      </c>
      <c r="AF3" t="s">
        <v>74</v>
      </c>
      <c r="AG3" t="s">
        <v>74</v>
      </c>
      <c r="AH3" t="s">
        <v>74</v>
      </c>
      <c r="AI3" t="s">
        <v>74</v>
      </c>
      <c r="AJ3" t="s">
        <v>74</v>
      </c>
      <c r="AK3" t="s">
        <v>74</v>
      </c>
      <c r="AL3" t="s">
        <v>74</v>
      </c>
      <c r="AM3" t="s">
        <v>74</v>
      </c>
      <c r="AN3" t="s">
        <v>74</v>
      </c>
      <c r="AO3" t="s">
        <v>74</v>
      </c>
      <c r="AP3" t="s">
        <v>151</v>
      </c>
      <c r="AQ3" t="s">
        <v>74</v>
      </c>
      <c r="AR3" t="s">
        <v>74</v>
      </c>
      <c r="AS3" t="s">
        <v>74</v>
      </c>
      <c r="AT3" t="s">
        <v>936</v>
      </c>
      <c r="AU3">
        <v>2026</v>
      </c>
      <c r="AV3">
        <v>18</v>
      </c>
      <c r="AW3">
        <v>4</v>
      </c>
      <c r="AX3" t="s">
        <v>74</v>
      </c>
      <c r="AY3" t="s">
        <v>74</v>
      </c>
      <c r="AZ3" t="s">
        <v>74</v>
      </c>
      <c r="BA3" t="s">
        <v>74</v>
      </c>
      <c r="BB3" t="s">
        <v>74</v>
      </c>
      <c r="BC3" t="s">
        <v>74</v>
      </c>
      <c r="BD3">
        <v>634</v>
      </c>
      <c r="BE3" t="s">
        <v>937</v>
      </c>
      <c r="BF3" t="str">
        <f>HYPERLINK("http://dx.doi.org/10.3390/rs18040634","http://dx.doi.org/10.3390/rs18040634")</f>
        <v>http://dx.doi.org/10.3390/rs18040634</v>
      </c>
      <c r="BG3" t="s">
        <v>74</v>
      </c>
      <c r="BH3" t="s">
        <v>74</v>
      </c>
      <c r="BI3" t="s">
        <v>74</v>
      </c>
      <c r="BJ3" t="s">
        <v>74</v>
      </c>
      <c r="BK3" t="s">
        <v>74</v>
      </c>
      <c r="BL3" t="s">
        <v>74</v>
      </c>
      <c r="BM3" t="s">
        <v>74</v>
      </c>
      <c r="BN3" t="s">
        <v>74</v>
      </c>
      <c r="BO3" t="s">
        <v>74</v>
      </c>
      <c r="BP3" t="s">
        <v>74</v>
      </c>
      <c r="BQ3" t="s">
        <v>74</v>
      </c>
      <c r="BR3" t="s">
        <v>74</v>
      </c>
      <c r="BS3" t="s">
        <v>938</v>
      </c>
      <c r="BT3" t="str">
        <f>HYPERLINK("https%3A%2F%2Fwww.webofscience.com%2Fwos%2Fwoscc%2Ffull-record%2FWOS:001702373100001","View Full Record in Web of Science")</f>
        <v>View Full Record in Web of Science</v>
      </c>
    </row>
    <row r="4" spans="1:72" x14ac:dyDescent="0.15">
      <c r="A4" t="s">
        <v>72</v>
      </c>
      <c r="B4" t="s">
        <v>939</v>
      </c>
      <c r="C4" t="s">
        <v>74</v>
      </c>
      <c r="D4" t="s">
        <v>74</v>
      </c>
      <c r="E4" t="s">
        <v>74</v>
      </c>
      <c r="F4" t="s">
        <v>940</v>
      </c>
      <c r="G4" t="s">
        <v>74</v>
      </c>
      <c r="H4" t="s">
        <v>74</v>
      </c>
      <c r="I4" t="s">
        <v>941</v>
      </c>
      <c r="J4" t="s">
        <v>184</v>
      </c>
      <c r="K4" t="s">
        <v>74</v>
      </c>
      <c r="L4" t="s">
        <v>74</v>
      </c>
      <c r="M4" t="s">
        <v>74</v>
      </c>
      <c r="N4" t="s">
        <v>74</v>
      </c>
      <c r="O4" t="s">
        <v>74</v>
      </c>
      <c r="P4" t="s">
        <v>74</v>
      </c>
      <c r="Q4" t="s">
        <v>74</v>
      </c>
      <c r="R4" t="s">
        <v>74</v>
      </c>
      <c r="S4" t="s">
        <v>74</v>
      </c>
      <c r="T4" t="s">
        <v>74</v>
      </c>
      <c r="U4" t="s">
        <v>74</v>
      </c>
      <c r="V4" t="s">
        <v>942</v>
      </c>
      <c r="W4" t="s">
        <v>74</v>
      </c>
      <c r="X4" t="s">
        <v>74</v>
      </c>
      <c r="Y4" t="s">
        <v>74</v>
      </c>
      <c r="Z4" t="s">
        <v>74</v>
      </c>
      <c r="AA4" t="s">
        <v>846</v>
      </c>
      <c r="AB4" t="s">
        <v>74</v>
      </c>
      <c r="AC4" t="s">
        <v>74</v>
      </c>
      <c r="AD4" t="s">
        <v>74</v>
      </c>
      <c r="AE4" t="s">
        <v>74</v>
      </c>
      <c r="AF4" t="s">
        <v>74</v>
      </c>
      <c r="AG4" t="s">
        <v>74</v>
      </c>
      <c r="AH4" t="s">
        <v>74</v>
      </c>
      <c r="AI4" t="s">
        <v>74</v>
      </c>
      <c r="AJ4" t="s">
        <v>74</v>
      </c>
      <c r="AK4" t="s">
        <v>74</v>
      </c>
      <c r="AL4" t="s">
        <v>74</v>
      </c>
      <c r="AM4" t="s">
        <v>74</v>
      </c>
      <c r="AN4" t="s">
        <v>74</v>
      </c>
      <c r="AO4" t="s">
        <v>188</v>
      </c>
      <c r="AP4" t="s">
        <v>189</v>
      </c>
      <c r="AQ4" t="s">
        <v>74</v>
      </c>
      <c r="AR4" t="s">
        <v>74</v>
      </c>
      <c r="AS4" t="s">
        <v>74</v>
      </c>
      <c r="AT4" t="s">
        <v>311</v>
      </c>
      <c r="AU4">
        <v>2026</v>
      </c>
      <c r="AV4">
        <v>146</v>
      </c>
      <c r="AW4" t="s">
        <v>74</v>
      </c>
      <c r="AX4" t="s">
        <v>74</v>
      </c>
      <c r="AY4" t="s">
        <v>74</v>
      </c>
      <c r="AZ4" t="s">
        <v>74</v>
      </c>
      <c r="BA4" t="s">
        <v>74</v>
      </c>
      <c r="BB4" t="s">
        <v>74</v>
      </c>
      <c r="BC4" t="s">
        <v>74</v>
      </c>
      <c r="BD4">
        <v>105068</v>
      </c>
      <c r="BE4" t="s">
        <v>943</v>
      </c>
      <c r="BF4" t="str">
        <f>HYPERLINK("http://dx.doi.org/10.1016/j.jag.2025.105068","http://dx.doi.org/10.1016/j.jag.2025.105068")</f>
        <v>http://dx.doi.org/10.1016/j.jag.2025.105068</v>
      </c>
      <c r="BG4" t="s">
        <v>74</v>
      </c>
      <c r="BH4" t="s">
        <v>944</v>
      </c>
      <c r="BI4" t="s">
        <v>74</v>
      </c>
      <c r="BJ4" t="s">
        <v>74</v>
      </c>
      <c r="BK4" t="s">
        <v>74</v>
      </c>
      <c r="BL4" t="s">
        <v>74</v>
      </c>
      <c r="BM4" t="s">
        <v>74</v>
      </c>
      <c r="BN4" t="s">
        <v>74</v>
      </c>
      <c r="BO4" t="s">
        <v>74</v>
      </c>
      <c r="BP4" t="s">
        <v>74</v>
      </c>
      <c r="BQ4" t="s">
        <v>74</v>
      </c>
      <c r="BR4" t="s">
        <v>74</v>
      </c>
      <c r="BS4" t="s">
        <v>945</v>
      </c>
      <c r="BT4" t="str">
        <f>HYPERLINK("https%3A%2F%2Fwww.webofscience.com%2Fwos%2Fwoscc%2Ffull-record%2FWOS:001662557200001","View Full Record in Web of Science")</f>
        <v>View Full Record in Web of Science</v>
      </c>
    </row>
    <row r="5" spans="1:72" x14ac:dyDescent="0.15">
      <c r="A5" t="s">
        <v>72</v>
      </c>
      <c r="B5" t="s">
        <v>946</v>
      </c>
      <c r="C5" t="s">
        <v>74</v>
      </c>
      <c r="D5" t="s">
        <v>74</v>
      </c>
      <c r="E5" t="s">
        <v>74</v>
      </c>
      <c r="F5" t="s">
        <v>947</v>
      </c>
      <c r="G5" t="s">
        <v>74</v>
      </c>
      <c r="H5" t="s">
        <v>74</v>
      </c>
      <c r="I5" t="s">
        <v>948</v>
      </c>
      <c r="J5" t="s">
        <v>96</v>
      </c>
      <c r="K5" t="s">
        <v>74</v>
      </c>
      <c r="L5" t="s">
        <v>74</v>
      </c>
      <c r="M5" t="s">
        <v>74</v>
      </c>
      <c r="N5" t="s">
        <v>74</v>
      </c>
      <c r="O5" t="s">
        <v>74</v>
      </c>
      <c r="P5" t="s">
        <v>74</v>
      </c>
      <c r="Q5" t="s">
        <v>74</v>
      </c>
      <c r="R5" t="s">
        <v>74</v>
      </c>
      <c r="S5" t="s">
        <v>74</v>
      </c>
      <c r="T5" t="s">
        <v>74</v>
      </c>
      <c r="U5" t="s">
        <v>74</v>
      </c>
      <c r="V5" t="s">
        <v>949</v>
      </c>
      <c r="W5" t="s">
        <v>74</v>
      </c>
      <c r="X5" t="s">
        <v>74</v>
      </c>
      <c r="Y5" t="s">
        <v>74</v>
      </c>
      <c r="Z5" t="s">
        <v>74</v>
      </c>
      <c r="AA5" t="s">
        <v>74</v>
      </c>
      <c r="AB5" t="s">
        <v>74</v>
      </c>
      <c r="AC5" t="s">
        <v>74</v>
      </c>
      <c r="AD5" t="s">
        <v>74</v>
      </c>
      <c r="AE5" t="s">
        <v>74</v>
      </c>
      <c r="AF5" t="s">
        <v>74</v>
      </c>
      <c r="AG5" t="s">
        <v>74</v>
      </c>
      <c r="AH5" t="s">
        <v>74</v>
      </c>
      <c r="AI5" t="s">
        <v>74</v>
      </c>
      <c r="AJ5" t="s">
        <v>74</v>
      </c>
      <c r="AK5" t="s">
        <v>74</v>
      </c>
      <c r="AL5" t="s">
        <v>74</v>
      </c>
      <c r="AM5" t="s">
        <v>74</v>
      </c>
      <c r="AN5" t="s">
        <v>74</v>
      </c>
      <c r="AO5" t="s">
        <v>99</v>
      </c>
      <c r="AP5" t="s">
        <v>100</v>
      </c>
      <c r="AQ5" t="s">
        <v>74</v>
      </c>
      <c r="AR5" t="s">
        <v>74</v>
      </c>
      <c r="AS5" t="s">
        <v>74</v>
      </c>
      <c r="AT5" t="s">
        <v>74</v>
      </c>
      <c r="AU5">
        <v>2026</v>
      </c>
      <c r="AV5">
        <v>64</v>
      </c>
      <c r="AW5" t="s">
        <v>74</v>
      </c>
      <c r="AX5" t="s">
        <v>74</v>
      </c>
      <c r="AY5" t="s">
        <v>74</v>
      </c>
      <c r="AZ5" t="s">
        <v>74</v>
      </c>
      <c r="BA5" t="s">
        <v>74</v>
      </c>
      <c r="BB5" t="s">
        <v>74</v>
      </c>
      <c r="BC5" t="s">
        <v>74</v>
      </c>
      <c r="BD5">
        <v>2000618</v>
      </c>
      <c r="BE5" t="s">
        <v>950</v>
      </c>
      <c r="BF5" t="str">
        <f>HYPERLINK("http://dx.doi.org/10.1109/TGRS.2026.3658678","http://dx.doi.org/10.1109/TGRS.2026.3658678")</f>
        <v>http://dx.doi.org/10.1109/TGRS.2026.3658678</v>
      </c>
      <c r="BG5" t="s">
        <v>74</v>
      </c>
      <c r="BH5" t="s">
        <v>74</v>
      </c>
      <c r="BI5" t="s">
        <v>74</v>
      </c>
      <c r="BJ5" t="s">
        <v>74</v>
      </c>
      <c r="BK5" t="s">
        <v>74</v>
      </c>
      <c r="BL5" t="s">
        <v>74</v>
      </c>
      <c r="BM5" t="s">
        <v>74</v>
      </c>
      <c r="BN5" t="s">
        <v>74</v>
      </c>
      <c r="BO5" t="s">
        <v>74</v>
      </c>
      <c r="BP5" t="s">
        <v>74</v>
      </c>
      <c r="BQ5" t="s">
        <v>74</v>
      </c>
      <c r="BR5" t="s">
        <v>74</v>
      </c>
      <c r="BS5" t="s">
        <v>951</v>
      </c>
      <c r="BT5" t="str">
        <f>HYPERLINK("https%3A%2F%2Fwww.webofscience.com%2Fwos%2Fwoscc%2Ffull-record%2FWOS:001687347500021","View Full Record in Web of Science")</f>
        <v>View Full Record in Web of Science</v>
      </c>
    </row>
    <row r="6" spans="1:72" x14ac:dyDescent="0.15">
      <c r="A6" t="s">
        <v>72</v>
      </c>
      <c r="B6" t="s">
        <v>952</v>
      </c>
      <c r="C6" t="s">
        <v>74</v>
      </c>
      <c r="D6" t="s">
        <v>74</v>
      </c>
      <c r="E6" t="s">
        <v>74</v>
      </c>
      <c r="F6" t="s">
        <v>953</v>
      </c>
      <c r="G6" t="s">
        <v>74</v>
      </c>
      <c r="H6" t="s">
        <v>74</v>
      </c>
      <c r="I6" t="s">
        <v>954</v>
      </c>
      <c r="J6" t="s">
        <v>287</v>
      </c>
      <c r="K6" t="s">
        <v>74</v>
      </c>
      <c r="L6" t="s">
        <v>74</v>
      </c>
      <c r="M6" t="s">
        <v>74</v>
      </c>
      <c r="N6" t="s">
        <v>74</v>
      </c>
      <c r="O6" t="s">
        <v>74</v>
      </c>
      <c r="P6" t="s">
        <v>74</v>
      </c>
      <c r="Q6" t="s">
        <v>74</v>
      </c>
      <c r="R6" t="s">
        <v>74</v>
      </c>
      <c r="S6" t="s">
        <v>74</v>
      </c>
      <c r="T6" t="s">
        <v>74</v>
      </c>
      <c r="U6" t="s">
        <v>74</v>
      </c>
      <c r="V6" t="s">
        <v>955</v>
      </c>
      <c r="W6" t="s">
        <v>74</v>
      </c>
      <c r="X6" t="s">
        <v>74</v>
      </c>
      <c r="Y6" t="s">
        <v>74</v>
      </c>
      <c r="Z6" t="s">
        <v>74</v>
      </c>
      <c r="AA6" t="s">
        <v>74</v>
      </c>
      <c r="AB6" t="s">
        <v>198</v>
      </c>
      <c r="AC6" t="s">
        <v>74</v>
      </c>
      <c r="AD6" t="s">
        <v>74</v>
      </c>
      <c r="AE6" t="s">
        <v>74</v>
      </c>
      <c r="AF6" t="s">
        <v>74</v>
      </c>
      <c r="AG6" t="s">
        <v>74</v>
      </c>
      <c r="AH6" t="s">
        <v>74</v>
      </c>
      <c r="AI6" t="s">
        <v>74</v>
      </c>
      <c r="AJ6" t="s">
        <v>74</v>
      </c>
      <c r="AK6" t="s">
        <v>74</v>
      </c>
      <c r="AL6" t="s">
        <v>74</v>
      </c>
      <c r="AM6" t="s">
        <v>74</v>
      </c>
      <c r="AN6" t="s">
        <v>74</v>
      </c>
      <c r="AO6" t="s">
        <v>291</v>
      </c>
      <c r="AP6" t="s">
        <v>292</v>
      </c>
      <c r="AQ6" t="s">
        <v>74</v>
      </c>
      <c r="AR6" t="s">
        <v>74</v>
      </c>
      <c r="AS6" t="s">
        <v>74</v>
      </c>
      <c r="AT6" t="s">
        <v>293</v>
      </c>
      <c r="AU6">
        <v>2025</v>
      </c>
      <c r="AV6">
        <v>18</v>
      </c>
      <c r="AW6">
        <v>1</v>
      </c>
      <c r="AX6" t="s">
        <v>74</v>
      </c>
      <c r="AY6" t="s">
        <v>74</v>
      </c>
      <c r="AZ6" t="s">
        <v>74</v>
      </c>
      <c r="BA6" t="s">
        <v>74</v>
      </c>
      <c r="BB6" t="s">
        <v>74</v>
      </c>
      <c r="BC6" t="s">
        <v>74</v>
      </c>
      <c r="BD6">
        <v>2470851</v>
      </c>
      <c r="BE6" t="s">
        <v>956</v>
      </c>
      <c r="BF6" t="str">
        <f>HYPERLINK("http://dx.doi.org/10.1080/17538947.2025.2470851","http://dx.doi.org/10.1080/17538947.2025.2470851")</f>
        <v>http://dx.doi.org/10.1080/17538947.2025.2470851</v>
      </c>
      <c r="BG6" t="s">
        <v>74</v>
      </c>
      <c r="BH6" t="s">
        <v>74</v>
      </c>
      <c r="BI6" t="s">
        <v>74</v>
      </c>
      <c r="BJ6" t="s">
        <v>74</v>
      </c>
      <c r="BK6" t="s">
        <v>74</v>
      </c>
      <c r="BL6" t="s">
        <v>74</v>
      </c>
      <c r="BM6" t="s">
        <v>74</v>
      </c>
      <c r="BN6" t="s">
        <v>74</v>
      </c>
      <c r="BO6" t="s">
        <v>74</v>
      </c>
      <c r="BP6" t="s">
        <v>74</v>
      </c>
      <c r="BQ6" t="s">
        <v>74</v>
      </c>
      <c r="BR6" t="s">
        <v>74</v>
      </c>
      <c r="BS6" t="s">
        <v>957</v>
      </c>
      <c r="BT6" t="str">
        <f>HYPERLINK("https%3A%2F%2Fwww.webofscience.com%2Fwos%2Fwoscc%2Ffull-record%2FWOS:001434174300001","View Full Record in Web of Science")</f>
        <v>View Full Record in Web of Science</v>
      </c>
    </row>
    <row r="7" spans="1:72" x14ac:dyDescent="0.15">
      <c r="A7" t="s">
        <v>72</v>
      </c>
      <c r="B7" t="s">
        <v>958</v>
      </c>
      <c r="C7" t="s">
        <v>74</v>
      </c>
      <c r="D7" t="s">
        <v>74</v>
      </c>
      <c r="E7" t="s">
        <v>74</v>
      </c>
      <c r="F7" t="s">
        <v>959</v>
      </c>
      <c r="G7" t="s">
        <v>74</v>
      </c>
      <c r="H7" t="s">
        <v>74</v>
      </c>
      <c r="I7" t="s">
        <v>960</v>
      </c>
      <c r="J7" t="s">
        <v>961</v>
      </c>
      <c r="K7" t="s">
        <v>74</v>
      </c>
      <c r="L7" t="s">
        <v>74</v>
      </c>
      <c r="M7" t="s">
        <v>74</v>
      </c>
      <c r="N7" t="s">
        <v>74</v>
      </c>
      <c r="O7" t="s">
        <v>74</v>
      </c>
      <c r="P7" t="s">
        <v>74</v>
      </c>
      <c r="Q7" t="s">
        <v>74</v>
      </c>
      <c r="R7" t="s">
        <v>74</v>
      </c>
      <c r="S7" t="s">
        <v>74</v>
      </c>
      <c r="T7" t="s">
        <v>74</v>
      </c>
      <c r="U7" t="s">
        <v>74</v>
      </c>
      <c r="V7" t="s">
        <v>962</v>
      </c>
      <c r="W7" t="s">
        <v>74</v>
      </c>
      <c r="X7" t="s">
        <v>74</v>
      </c>
      <c r="Y7" t="s">
        <v>74</v>
      </c>
      <c r="Z7" t="s">
        <v>74</v>
      </c>
      <c r="AA7" t="s">
        <v>963</v>
      </c>
      <c r="AB7" t="s">
        <v>964</v>
      </c>
      <c r="AC7" t="s">
        <v>74</v>
      </c>
      <c r="AD7" t="s">
        <v>74</v>
      </c>
      <c r="AE7" t="s">
        <v>74</v>
      </c>
      <c r="AF7" t="s">
        <v>74</v>
      </c>
      <c r="AG7" t="s">
        <v>74</v>
      </c>
      <c r="AH7" t="s">
        <v>74</v>
      </c>
      <c r="AI7" t="s">
        <v>74</v>
      </c>
      <c r="AJ7" t="s">
        <v>74</v>
      </c>
      <c r="AK7" t="s">
        <v>74</v>
      </c>
      <c r="AL7" t="s">
        <v>74</v>
      </c>
      <c r="AM7" t="s">
        <v>74</v>
      </c>
      <c r="AN7" t="s">
        <v>74</v>
      </c>
      <c r="AO7" t="s">
        <v>965</v>
      </c>
      <c r="AP7" t="s">
        <v>966</v>
      </c>
      <c r="AQ7" t="s">
        <v>74</v>
      </c>
      <c r="AR7" t="s">
        <v>74</v>
      </c>
      <c r="AS7" t="s">
        <v>74</v>
      </c>
      <c r="AT7" t="s">
        <v>311</v>
      </c>
      <c r="AU7">
        <v>2026</v>
      </c>
      <c r="AV7">
        <v>69</v>
      </c>
      <c r="AW7">
        <v>2</v>
      </c>
      <c r="AX7" t="s">
        <v>74</v>
      </c>
      <c r="AY7" t="s">
        <v>74</v>
      </c>
      <c r="AZ7" t="s">
        <v>74</v>
      </c>
      <c r="BA7" t="s">
        <v>74</v>
      </c>
      <c r="BB7">
        <v>564</v>
      </c>
      <c r="BC7">
        <v>581</v>
      </c>
      <c r="BD7" t="s">
        <v>74</v>
      </c>
      <c r="BE7" t="s">
        <v>967</v>
      </c>
      <c r="BF7" t="str">
        <f>HYPERLINK("http://dx.doi.org/10.1007/s11430-025-1764-7","http://dx.doi.org/10.1007/s11430-025-1764-7")</f>
        <v>http://dx.doi.org/10.1007/s11430-025-1764-7</v>
      </c>
      <c r="BG7" t="s">
        <v>74</v>
      </c>
      <c r="BH7" t="s">
        <v>968</v>
      </c>
      <c r="BI7" t="s">
        <v>74</v>
      </c>
      <c r="BJ7" t="s">
        <v>74</v>
      </c>
      <c r="BK7" t="s">
        <v>74</v>
      </c>
      <c r="BL7" t="s">
        <v>74</v>
      </c>
      <c r="BM7" t="s">
        <v>74</v>
      </c>
      <c r="BN7" t="s">
        <v>74</v>
      </c>
      <c r="BO7" t="s">
        <v>74</v>
      </c>
      <c r="BP7" t="s">
        <v>74</v>
      </c>
      <c r="BQ7" t="s">
        <v>74</v>
      </c>
      <c r="BR7" t="s">
        <v>74</v>
      </c>
      <c r="BS7" t="s">
        <v>969</v>
      </c>
      <c r="BT7" t="str">
        <f>HYPERLINK("https%3A%2F%2Fwww.webofscience.com%2Fwos%2Fwoscc%2Ffull-record%2FWOS:001642978200001","View Full Record in Web of Science")</f>
        <v>View Full Record in Web of Science</v>
      </c>
    </row>
    <row r="8" spans="1:72" x14ac:dyDescent="0.15">
      <c r="A8" t="s">
        <v>72</v>
      </c>
      <c r="B8" t="s">
        <v>110</v>
      </c>
      <c r="C8" t="s">
        <v>74</v>
      </c>
      <c r="D8" t="s">
        <v>74</v>
      </c>
      <c r="E8" t="s">
        <v>74</v>
      </c>
      <c r="F8" t="s">
        <v>111</v>
      </c>
      <c r="G8" t="s">
        <v>74</v>
      </c>
      <c r="H8" t="s">
        <v>74</v>
      </c>
      <c r="I8" t="s">
        <v>112</v>
      </c>
      <c r="J8" t="s">
        <v>77</v>
      </c>
      <c r="K8" t="s">
        <v>74</v>
      </c>
      <c r="L8" t="s">
        <v>74</v>
      </c>
      <c r="M8" t="s">
        <v>74</v>
      </c>
      <c r="N8" t="s">
        <v>74</v>
      </c>
      <c r="O8" t="s">
        <v>74</v>
      </c>
      <c r="P8" t="s">
        <v>74</v>
      </c>
      <c r="Q8" t="s">
        <v>74</v>
      </c>
      <c r="R8" t="s">
        <v>74</v>
      </c>
      <c r="S8" t="s">
        <v>74</v>
      </c>
      <c r="T8" t="s">
        <v>74</v>
      </c>
      <c r="U8" t="s">
        <v>74</v>
      </c>
      <c r="V8" t="s">
        <v>113</v>
      </c>
      <c r="W8" t="s">
        <v>74</v>
      </c>
      <c r="X8" t="s">
        <v>74</v>
      </c>
      <c r="Y8" t="s">
        <v>74</v>
      </c>
      <c r="Z8" t="s">
        <v>74</v>
      </c>
      <c r="AA8" t="s">
        <v>114</v>
      </c>
      <c r="AB8" t="s">
        <v>115</v>
      </c>
      <c r="AC8" t="s">
        <v>74</v>
      </c>
      <c r="AD8" t="s">
        <v>74</v>
      </c>
      <c r="AE8" t="s">
        <v>74</v>
      </c>
      <c r="AF8" t="s">
        <v>74</v>
      </c>
      <c r="AG8" t="s">
        <v>74</v>
      </c>
      <c r="AH8" t="s">
        <v>74</v>
      </c>
      <c r="AI8" t="s">
        <v>74</v>
      </c>
      <c r="AJ8" t="s">
        <v>74</v>
      </c>
      <c r="AK8" t="s">
        <v>74</v>
      </c>
      <c r="AL8" t="s">
        <v>74</v>
      </c>
      <c r="AM8" t="s">
        <v>74</v>
      </c>
      <c r="AN8" t="s">
        <v>74</v>
      </c>
      <c r="AO8" t="s">
        <v>79</v>
      </c>
      <c r="AP8" t="s">
        <v>80</v>
      </c>
      <c r="AQ8" t="s">
        <v>74</v>
      </c>
      <c r="AR8" t="s">
        <v>74</v>
      </c>
      <c r="AS8" t="s">
        <v>74</v>
      </c>
      <c r="AT8" t="s">
        <v>116</v>
      </c>
      <c r="AU8">
        <v>2025</v>
      </c>
      <c r="AV8">
        <v>19</v>
      </c>
      <c r="AW8">
        <v>11</v>
      </c>
      <c r="AX8" t="s">
        <v>74</v>
      </c>
      <c r="AY8" t="s">
        <v>74</v>
      </c>
      <c r="AZ8" t="s">
        <v>74</v>
      </c>
      <c r="BA8" t="s">
        <v>74</v>
      </c>
      <c r="BB8">
        <v>6127</v>
      </c>
      <c r="BC8">
        <v>6148</v>
      </c>
      <c r="BD8" t="s">
        <v>74</v>
      </c>
      <c r="BE8" t="s">
        <v>117</v>
      </c>
      <c r="BF8" t="str">
        <f>HYPERLINK("http://dx.doi.org/10.5194/tc-19-6127-2025","http://dx.doi.org/10.5194/tc-19-6127-2025")</f>
        <v>http://dx.doi.org/10.5194/tc-19-6127-2025</v>
      </c>
      <c r="BG8" t="s">
        <v>74</v>
      </c>
      <c r="BH8" t="s">
        <v>74</v>
      </c>
      <c r="BI8" t="s">
        <v>74</v>
      </c>
      <c r="BJ8" t="s">
        <v>74</v>
      </c>
      <c r="BK8" t="s">
        <v>74</v>
      </c>
      <c r="BL8" t="s">
        <v>74</v>
      </c>
      <c r="BM8" t="s">
        <v>74</v>
      </c>
      <c r="BN8" t="s">
        <v>74</v>
      </c>
      <c r="BO8" t="s">
        <v>74</v>
      </c>
      <c r="BP8" t="s">
        <v>74</v>
      </c>
      <c r="BQ8" t="s">
        <v>74</v>
      </c>
      <c r="BR8" t="s">
        <v>74</v>
      </c>
      <c r="BS8" t="s">
        <v>118</v>
      </c>
      <c r="BT8" t="str">
        <f>HYPERLINK("https%3A%2F%2Fwww.webofscience.com%2Fwos%2Fwoscc%2Ffull-record%2FWOS:001620513000001","View Full Record in Web of Science")</f>
        <v>View Full Record in Web of Science</v>
      </c>
    </row>
    <row r="9" spans="1:72" x14ac:dyDescent="0.15">
      <c r="A9" t="s">
        <v>72</v>
      </c>
      <c r="B9" t="s">
        <v>970</v>
      </c>
      <c r="C9" t="s">
        <v>74</v>
      </c>
      <c r="D9" t="s">
        <v>74</v>
      </c>
      <c r="E9" t="s">
        <v>74</v>
      </c>
      <c r="F9" t="s">
        <v>971</v>
      </c>
      <c r="G9" t="s">
        <v>74</v>
      </c>
      <c r="H9" t="s">
        <v>74</v>
      </c>
      <c r="I9" t="s">
        <v>972</v>
      </c>
      <c r="J9" t="s">
        <v>77</v>
      </c>
      <c r="K9" t="s">
        <v>74</v>
      </c>
      <c r="L9" t="s">
        <v>74</v>
      </c>
      <c r="M9" t="s">
        <v>74</v>
      </c>
      <c r="N9" t="s">
        <v>74</v>
      </c>
      <c r="O9" t="s">
        <v>74</v>
      </c>
      <c r="P9" t="s">
        <v>74</v>
      </c>
      <c r="Q9" t="s">
        <v>74</v>
      </c>
      <c r="R9" t="s">
        <v>74</v>
      </c>
      <c r="S9" t="s">
        <v>74</v>
      </c>
      <c r="T9" t="s">
        <v>74</v>
      </c>
      <c r="U9" t="s">
        <v>74</v>
      </c>
      <c r="V9" t="s">
        <v>973</v>
      </c>
      <c r="W9" t="s">
        <v>74</v>
      </c>
      <c r="X9" t="s">
        <v>74</v>
      </c>
      <c r="Y9" t="s">
        <v>74</v>
      </c>
      <c r="Z9" t="s">
        <v>74</v>
      </c>
      <c r="AA9" t="s">
        <v>974</v>
      </c>
      <c r="AB9" t="s">
        <v>975</v>
      </c>
      <c r="AC9" t="s">
        <v>74</v>
      </c>
      <c r="AD9" t="s">
        <v>74</v>
      </c>
      <c r="AE9" t="s">
        <v>74</v>
      </c>
      <c r="AF9" t="s">
        <v>74</v>
      </c>
      <c r="AG9" t="s">
        <v>74</v>
      </c>
      <c r="AH9" t="s">
        <v>74</v>
      </c>
      <c r="AI9" t="s">
        <v>74</v>
      </c>
      <c r="AJ9" t="s">
        <v>74</v>
      </c>
      <c r="AK9" t="s">
        <v>74</v>
      </c>
      <c r="AL9" t="s">
        <v>74</v>
      </c>
      <c r="AM9" t="s">
        <v>74</v>
      </c>
      <c r="AN9" t="s">
        <v>74</v>
      </c>
      <c r="AO9" t="s">
        <v>79</v>
      </c>
      <c r="AP9" t="s">
        <v>80</v>
      </c>
      <c r="AQ9" t="s">
        <v>74</v>
      </c>
      <c r="AR9" t="s">
        <v>74</v>
      </c>
      <c r="AS9" t="s">
        <v>74</v>
      </c>
      <c r="AT9" t="s">
        <v>976</v>
      </c>
      <c r="AU9">
        <v>2025</v>
      </c>
      <c r="AV9">
        <v>19</v>
      </c>
      <c r="AW9">
        <v>11</v>
      </c>
      <c r="AX9" t="s">
        <v>74</v>
      </c>
      <c r="AY9" t="s">
        <v>74</v>
      </c>
      <c r="AZ9" t="s">
        <v>74</v>
      </c>
      <c r="BA9" t="s">
        <v>74</v>
      </c>
      <c r="BB9">
        <v>6077</v>
      </c>
      <c r="BC9">
        <v>6102</v>
      </c>
      <c r="BD9" t="s">
        <v>74</v>
      </c>
      <c r="BE9" t="s">
        <v>977</v>
      </c>
      <c r="BF9" t="str">
        <f>HYPERLINK("http://dx.doi.org/10.5194/tc-19-6077-2025","http://dx.doi.org/10.5194/tc-19-6077-2025")</f>
        <v>http://dx.doi.org/10.5194/tc-19-6077-2025</v>
      </c>
      <c r="BG9" t="s">
        <v>74</v>
      </c>
      <c r="BH9" t="s">
        <v>74</v>
      </c>
      <c r="BI9" t="s">
        <v>74</v>
      </c>
      <c r="BJ9" t="s">
        <v>74</v>
      </c>
      <c r="BK9" t="s">
        <v>74</v>
      </c>
      <c r="BL9" t="s">
        <v>74</v>
      </c>
      <c r="BM9" t="s">
        <v>74</v>
      </c>
      <c r="BN9" t="s">
        <v>74</v>
      </c>
      <c r="BO9" t="s">
        <v>74</v>
      </c>
      <c r="BP9" t="s">
        <v>74</v>
      </c>
      <c r="BQ9" t="s">
        <v>74</v>
      </c>
      <c r="BR9" t="s">
        <v>74</v>
      </c>
      <c r="BS9" t="s">
        <v>978</v>
      </c>
      <c r="BT9" t="str">
        <f>HYPERLINK("https%3A%2F%2Fwww.webofscience.com%2Fwos%2Fwoscc%2Ffull-record%2FWOS:001620306600001","View Full Record in Web of Science")</f>
        <v>View Full Record in Web of Science</v>
      </c>
    </row>
    <row r="10" spans="1:72" x14ac:dyDescent="0.15">
      <c r="A10" t="s">
        <v>72</v>
      </c>
      <c r="B10" t="s">
        <v>979</v>
      </c>
      <c r="C10" t="s">
        <v>74</v>
      </c>
      <c r="D10" t="s">
        <v>74</v>
      </c>
      <c r="E10" t="s">
        <v>74</v>
      </c>
      <c r="F10" t="s">
        <v>980</v>
      </c>
      <c r="G10" t="s">
        <v>74</v>
      </c>
      <c r="H10" t="s">
        <v>74</v>
      </c>
      <c r="I10" t="s">
        <v>981</v>
      </c>
      <c r="J10" t="s">
        <v>982</v>
      </c>
      <c r="K10" t="s">
        <v>74</v>
      </c>
      <c r="L10" t="s">
        <v>74</v>
      </c>
      <c r="M10" t="s">
        <v>74</v>
      </c>
      <c r="N10" t="s">
        <v>74</v>
      </c>
      <c r="O10" t="s">
        <v>74</v>
      </c>
      <c r="P10" t="s">
        <v>74</v>
      </c>
      <c r="Q10" t="s">
        <v>74</v>
      </c>
      <c r="R10" t="s">
        <v>74</v>
      </c>
      <c r="S10" t="s">
        <v>74</v>
      </c>
      <c r="T10" t="s">
        <v>74</v>
      </c>
      <c r="U10" t="s">
        <v>74</v>
      </c>
      <c r="V10" t="s">
        <v>983</v>
      </c>
      <c r="W10" t="s">
        <v>74</v>
      </c>
      <c r="X10" t="s">
        <v>74</v>
      </c>
      <c r="Y10" t="s">
        <v>74</v>
      </c>
      <c r="Z10" t="s">
        <v>74</v>
      </c>
      <c r="AA10" t="s">
        <v>74</v>
      </c>
      <c r="AB10" t="s">
        <v>984</v>
      </c>
      <c r="AC10" t="s">
        <v>74</v>
      </c>
      <c r="AD10" t="s">
        <v>74</v>
      </c>
      <c r="AE10" t="s">
        <v>74</v>
      </c>
      <c r="AF10" t="s">
        <v>74</v>
      </c>
      <c r="AG10" t="s">
        <v>74</v>
      </c>
      <c r="AH10" t="s">
        <v>74</v>
      </c>
      <c r="AI10" t="s">
        <v>74</v>
      </c>
      <c r="AJ10" t="s">
        <v>74</v>
      </c>
      <c r="AK10" t="s">
        <v>74</v>
      </c>
      <c r="AL10" t="s">
        <v>74</v>
      </c>
      <c r="AM10" t="s">
        <v>74</v>
      </c>
      <c r="AN10" t="s">
        <v>74</v>
      </c>
      <c r="AO10" t="s">
        <v>985</v>
      </c>
      <c r="AP10" t="s">
        <v>986</v>
      </c>
      <c r="AQ10" t="s">
        <v>74</v>
      </c>
      <c r="AR10" t="s">
        <v>74</v>
      </c>
      <c r="AS10" t="s">
        <v>74</v>
      </c>
      <c r="AT10" t="s">
        <v>405</v>
      </c>
      <c r="AU10">
        <v>2026</v>
      </c>
      <c r="AV10">
        <v>231</v>
      </c>
      <c r="AW10" t="s">
        <v>74</v>
      </c>
      <c r="AX10" t="s">
        <v>74</v>
      </c>
      <c r="AY10" t="s">
        <v>74</v>
      </c>
      <c r="AZ10" t="s">
        <v>74</v>
      </c>
      <c r="BA10" t="s">
        <v>74</v>
      </c>
      <c r="BB10">
        <v>576</v>
      </c>
      <c r="BC10">
        <v>594</v>
      </c>
      <c r="BD10" t="s">
        <v>74</v>
      </c>
      <c r="BE10" t="s">
        <v>987</v>
      </c>
      <c r="BF10" t="str">
        <f>HYPERLINK("http://dx.doi.org/10.1016/j.isprsjprs.2025.11.006","http://dx.doi.org/10.1016/j.isprsjprs.2025.11.006")</f>
        <v>http://dx.doi.org/10.1016/j.isprsjprs.2025.11.006</v>
      </c>
      <c r="BG10" t="s">
        <v>74</v>
      </c>
      <c r="BH10" t="s">
        <v>988</v>
      </c>
      <c r="BI10" t="s">
        <v>74</v>
      </c>
      <c r="BJ10" t="s">
        <v>74</v>
      </c>
      <c r="BK10" t="s">
        <v>74</v>
      </c>
      <c r="BL10" t="s">
        <v>74</v>
      </c>
      <c r="BM10" t="s">
        <v>74</v>
      </c>
      <c r="BN10" t="s">
        <v>74</v>
      </c>
      <c r="BO10" t="s">
        <v>74</v>
      </c>
      <c r="BP10" t="s">
        <v>74</v>
      </c>
      <c r="BQ10" t="s">
        <v>74</v>
      </c>
      <c r="BR10" t="s">
        <v>74</v>
      </c>
      <c r="BS10" t="s">
        <v>989</v>
      </c>
      <c r="BT10" t="str">
        <f>HYPERLINK("https%3A%2F%2Fwww.webofscience.com%2Fwos%2Fwoscc%2Ffull-record%2FWOS:001618601300001","View Full Record in Web of Science")</f>
        <v>View Full Record in Web of Science</v>
      </c>
    </row>
    <row r="11" spans="1:72" x14ac:dyDescent="0.15">
      <c r="A11" t="s">
        <v>72</v>
      </c>
      <c r="B11" t="s">
        <v>990</v>
      </c>
      <c r="C11" t="s">
        <v>74</v>
      </c>
      <c r="D11" t="s">
        <v>74</v>
      </c>
      <c r="E11" t="s">
        <v>74</v>
      </c>
      <c r="F11" t="s">
        <v>991</v>
      </c>
      <c r="G11" t="s">
        <v>74</v>
      </c>
      <c r="H11" t="s">
        <v>74</v>
      </c>
      <c r="I11" t="s">
        <v>992</v>
      </c>
      <c r="J11" t="s">
        <v>77</v>
      </c>
      <c r="K11" t="s">
        <v>74</v>
      </c>
      <c r="L11" t="s">
        <v>74</v>
      </c>
      <c r="M11" t="s">
        <v>74</v>
      </c>
      <c r="N11" t="s">
        <v>74</v>
      </c>
      <c r="O11" t="s">
        <v>74</v>
      </c>
      <c r="P11" t="s">
        <v>74</v>
      </c>
      <c r="Q11" t="s">
        <v>74</v>
      </c>
      <c r="R11" t="s">
        <v>74</v>
      </c>
      <c r="S11" t="s">
        <v>74</v>
      </c>
      <c r="T11" t="s">
        <v>74</v>
      </c>
      <c r="U11" t="s">
        <v>74</v>
      </c>
      <c r="V11" t="s">
        <v>993</v>
      </c>
      <c r="W11" t="s">
        <v>74</v>
      </c>
      <c r="X11" t="s">
        <v>74</v>
      </c>
      <c r="Y11" t="s">
        <v>74</v>
      </c>
      <c r="Z11" t="s">
        <v>74</v>
      </c>
      <c r="AA11" t="s">
        <v>74</v>
      </c>
      <c r="AB11" t="s">
        <v>994</v>
      </c>
      <c r="AC11" t="s">
        <v>74</v>
      </c>
      <c r="AD11" t="s">
        <v>74</v>
      </c>
      <c r="AE11" t="s">
        <v>74</v>
      </c>
      <c r="AF11" t="s">
        <v>74</v>
      </c>
      <c r="AG11" t="s">
        <v>74</v>
      </c>
      <c r="AH11" t="s">
        <v>74</v>
      </c>
      <c r="AI11" t="s">
        <v>74</v>
      </c>
      <c r="AJ11" t="s">
        <v>74</v>
      </c>
      <c r="AK11" t="s">
        <v>74</v>
      </c>
      <c r="AL11" t="s">
        <v>74</v>
      </c>
      <c r="AM11" t="s">
        <v>74</v>
      </c>
      <c r="AN11" t="s">
        <v>74</v>
      </c>
      <c r="AO11" t="s">
        <v>79</v>
      </c>
      <c r="AP11" t="s">
        <v>80</v>
      </c>
      <c r="AQ11" t="s">
        <v>74</v>
      </c>
      <c r="AR11" t="s">
        <v>74</v>
      </c>
      <c r="AS11" t="s">
        <v>74</v>
      </c>
      <c r="AT11" t="s">
        <v>995</v>
      </c>
      <c r="AU11">
        <v>2025</v>
      </c>
      <c r="AV11">
        <v>19</v>
      </c>
      <c r="AW11">
        <v>11</v>
      </c>
      <c r="AX11" t="s">
        <v>74</v>
      </c>
      <c r="AY11" t="s">
        <v>74</v>
      </c>
      <c r="AZ11" t="s">
        <v>74</v>
      </c>
      <c r="BA11" t="s">
        <v>74</v>
      </c>
      <c r="BB11">
        <v>5259</v>
      </c>
      <c r="BC11">
        <v>5282</v>
      </c>
      <c r="BD11" t="s">
        <v>74</v>
      </c>
      <c r="BE11" t="s">
        <v>996</v>
      </c>
      <c r="BF11" t="str">
        <f>HYPERLINK("http://dx.doi.org/10.5194/tc-19-5259-2025","http://dx.doi.org/10.5194/tc-19-5259-2025")</f>
        <v>http://dx.doi.org/10.5194/tc-19-5259-2025</v>
      </c>
      <c r="BG11" t="s">
        <v>74</v>
      </c>
      <c r="BH11" t="s">
        <v>74</v>
      </c>
      <c r="BI11" t="s">
        <v>74</v>
      </c>
      <c r="BJ11" t="s">
        <v>74</v>
      </c>
      <c r="BK11" t="s">
        <v>74</v>
      </c>
      <c r="BL11" t="s">
        <v>74</v>
      </c>
      <c r="BM11" t="s">
        <v>74</v>
      </c>
      <c r="BN11" t="s">
        <v>74</v>
      </c>
      <c r="BO11" t="s">
        <v>74</v>
      </c>
      <c r="BP11" t="s">
        <v>74</v>
      </c>
      <c r="BQ11" t="s">
        <v>74</v>
      </c>
      <c r="BR11" t="s">
        <v>74</v>
      </c>
      <c r="BS11" t="s">
        <v>997</v>
      </c>
      <c r="BT11" t="str">
        <f>HYPERLINK("https%3A%2F%2Fwww.webofscience.com%2Fwos%2Fwoscc%2Ffull-record%2FWOS:001604201900001","View Full Record in Web of Science")</f>
        <v>View Full Record in Web of Science</v>
      </c>
    </row>
    <row r="12" spans="1:72" x14ac:dyDescent="0.15">
      <c r="A12" t="s">
        <v>72</v>
      </c>
      <c r="B12" t="s">
        <v>119</v>
      </c>
      <c r="C12" t="s">
        <v>74</v>
      </c>
      <c r="D12" t="s">
        <v>74</v>
      </c>
      <c r="E12" t="s">
        <v>74</v>
      </c>
      <c r="F12" t="s">
        <v>120</v>
      </c>
      <c r="G12" t="s">
        <v>74</v>
      </c>
      <c r="H12" t="s">
        <v>74</v>
      </c>
      <c r="I12" t="s">
        <v>121</v>
      </c>
      <c r="J12" t="s">
        <v>122</v>
      </c>
      <c r="K12" t="s">
        <v>74</v>
      </c>
      <c r="L12" t="s">
        <v>74</v>
      </c>
      <c r="M12" t="s">
        <v>74</v>
      </c>
      <c r="N12" t="s">
        <v>74</v>
      </c>
      <c r="O12" t="s">
        <v>74</v>
      </c>
      <c r="P12" t="s">
        <v>74</v>
      </c>
      <c r="Q12" t="s">
        <v>74</v>
      </c>
      <c r="R12" t="s">
        <v>74</v>
      </c>
      <c r="S12" t="s">
        <v>74</v>
      </c>
      <c r="T12" t="s">
        <v>74</v>
      </c>
      <c r="U12" t="s">
        <v>74</v>
      </c>
      <c r="V12" t="s">
        <v>123</v>
      </c>
      <c r="W12" t="s">
        <v>74</v>
      </c>
      <c r="X12" t="s">
        <v>74</v>
      </c>
      <c r="Y12" t="s">
        <v>74</v>
      </c>
      <c r="Z12" t="s">
        <v>74</v>
      </c>
      <c r="AA12" t="s">
        <v>124</v>
      </c>
      <c r="AB12" t="s">
        <v>125</v>
      </c>
      <c r="AC12" t="s">
        <v>74</v>
      </c>
      <c r="AD12" t="s">
        <v>74</v>
      </c>
      <c r="AE12" t="s">
        <v>74</v>
      </c>
      <c r="AF12" t="s">
        <v>74</v>
      </c>
      <c r="AG12" t="s">
        <v>74</v>
      </c>
      <c r="AH12" t="s">
        <v>74</v>
      </c>
      <c r="AI12" t="s">
        <v>74</v>
      </c>
      <c r="AJ12" t="s">
        <v>74</v>
      </c>
      <c r="AK12" t="s">
        <v>74</v>
      </c>
      <c r="AL12" t="s">
        <v>74</v>
      </c>
      <c r="AM12" t="s">
        <v>74</v>
      </c>
      <c r="AN12" t="s">
        <v>74</v>
      </c>
      <c r="AO12" t="s">
        <v>126</v>
      </c>
      <c r="AP12" t="s">
        <v>127</v>
      </c>
      <c r="AQ12" t="s">
        <v>74</v>
      </c>
      <c r="AR12" t="s">
        <v>74</v>
      </c>
      <c r="AS12" t="s">
        <v>74</v>
      </c>
      <c r="AT12" t="s">
        <v>128</v>
      </c>
      <c r="AU12">
        <v>2025</v>
      </c>
      <c r="AV12">
        <v>330</v>
      </c>
      <c r="AW12" t="s">
        <v>74</v>
      </c>
      <c r="AX12" t="s">
        <v>74</v>
      </c>
      <c r="AY12" t="s">
        <v>74</v>
      </c>
      <c r="AZ12" t="s">
        <v>74</v>
      </c>
      <c r="BA12" t="s">
        <v>74</v>
      </c>
      <c r="BB12" t="s">
        <v>74</v>
      </c>
      <c r="BC12" t="s">
        <v>74</v>
      </c>
      <c r="BD12">
        <v>114963</v>
      </c>
      <c r="BE12" t="s">
        <v>129</v>
      </c>
      <c r="BF12" t="str">
        <f>HYPERLINK("http://dx.doi.org/10.1016/j.rse.2025.114963","http://dx.doi.org/10.1016/j.rse.2025.114963")</f>
        <v>http://dx.doi.org/10.1016/j.rse.2025.114963</v>
      </c>
      <c r="BG12" t="s">
        <v>74</v>
      </c>
      <c r="BH12" t="s">
        <v>130</v>
      </c>
      <c r="BI12" t="s">
        <v>74</v>
      </c>
      <c r="BJ12" t="s">
        <v>74</v>
      </c>
      <c r="BK12" t="s">
        <v>74</v>
      </c>
      <c r="BL12" t="s">
        <v>74</v>
      </c>
      <c r="BM12" t="s">
        <v>74</v>
      </c>
      <c r="BN12" t="s">
        <v>74</v>
      </c>
      <c r="BO12" t="s">
        <v>74</v>
      </c>
      <c r="BP12" t="s">
        <v>74</v>
      </c>
      <c r="BQ12" t="s">
        <v>74</v>
      </c>
      <c r="BR12" t="s">
        <v>74</v>
      </c>
      <c r="BS12" t="s">
        <v>131</v>
      </c>
      <c r="BT12" t="str">
        <f>HYPERLINK("https%3A%2F%2Fwww.webofscience.com%2Fwos%2Fwoscc%2Ffull-record%2FWOS:001561289100003","View Full Record in Web of Science")</f>
        <v>View Full Record in Web of Science</v>
      </c>
    </row>
    <row r="13" spans="1:72" x14ac:dyDescent="0.15">
      <c r="A13" t="s">
        <v>72</v>
      </c>
      <c r="B13" t="s">
        <v>998</v>
      </c>
      <c r="C13" t="s">
        <v>74</v>
      </c>
      <c r="D13" t="s">
        <v>74</v>
      </c>
      <c r="E13" t="s">
        <v>74</v>
      </c>
      <c r="F13" t="s">
        <v>999</v>
      </c>
      <c r="G13" t="s">
        <v>74</v>
      </c>
      <c r="H13" t="s">
        <v>74</v>
      </c>
      <c r="I13" t="s">
        <v>1000</v>
      </c>
      <c r="J13" t="s">
        <v>77</v>
      </c>
      <c r="K13" t="s">
        <v>74</v>
      </c>
      <c r="L13" t="s">
        <v>74</v>
      </c>
      <c r="M13" t="s">
        <v>74</v>
      </c>
      <c r="N13" t="s">
        <v>74</v>
      </c>
      <c r="O13" t="s">
        <v>74</v>
      </c>
      <c r="P13" t="s">
        <v>74</v>
      </c>
      <c r="Q13" t="s">
        <v>74</v>
      </c>
      <c r="R13" t="s">
        <v>74</v>
      </c>
      <c r="S13" t="s">
        <v>74</v>
      </c>
      <c r="T13" t="s">
        <v>74</v>
      </c>
      <c r="U13" t="s">
        <v>74</v>
      </c>
      <c r="V13" t="s">
        <v>1001</v>
      </c>
      <c r="W13" t="s">
        <v>74</v>
      </c>
      <c r="X13" t="s">
        <v>74</v>
      </c>
      <c r="Y13" t="s">
        <v>74</v>
      </c>
      <c r="Z13" t="s">
        <v>74</v>
      </c>
      <c r="AA13" t="s">
        <v>1002</v>
      </c>
      <c r="AB13" t="s">
        <v>1003</v>
      </c>
      <c r="AC13" t="s">
        <v>74</v>
      </c>
      <c r="AD13" t="s">
        <v>74</v>
      </c>
      <c r="AE13" t="s">
        <v>74</v>
      </c>
      <c r="AF13" t="s">
        <v>74</v>
      </c>
      <c r="AG13" t="s">
        <v>74</v>
      </c>
      <c r="AH13" t="s">
        <v>74</v>
      </c>
      <c r="AI13" t="s">
        <v>74</v>
      </c>
      <c r="AJ13" t="s">
        <v>74</v>
      </c>
      <c r="AK13" t="s">
        <v>74</v>
      </c>
      <c r="AL13" t="s">
        <v>74</v>
      </c>
      <c r="AM13" t="s">
        <v>74</v>
      </c>
      <c r="AN13" t="s">
        <v>74</v>
      </c>
      <c r="AO13" t="s">
        <v>79</v>
      </c>
      <c r="AP13" t="s">
        <v>80</v>
      </c>
      <c r="AQ13" t="s">
        <v>74</v>
      </c>
      <c r="AR13" t="s">
        <v>74</v>
      </c>
      <c r="AS13" t="s">
        <v>74</v>
      </c>
      <c r="AT13" t="s">
        <v>1004</v>
      </c>
      <c r="AU13">
        <v>2025</v>
      </c>
      <c r="AV13">
        <v>19</v>
      </c>
      <c r="AW13">
        <v>8</v>
      </c>
      <c r="AX13" t="s">
        <v>74</v>
      </c>
      <c r="AY13" t="s">
        <v>74</v>
      </c>
      <c r="AZ13" t="s">
        <v>74</v>
      </c>
      <c r="BA13" t="s">
        <v>74</v>
      </c>
      <c r="BB13">
        <v>2949</v>
      </c>
      <c r="BC13">
        <v>2962</v>
      </c>
      <c r="BD13" t="s">
        <v>74</v>
      </c>
      <c r="BE13" t="s">
        <v>1005</v>
      </c>
      <c r="BF13" t="str">
        <f>HYPERLINK("http://dx.doi.org/10.5194/tc-19-2949-2025","http://dx.doi.org/10.5194/tc-19-2949-2025")</f>
        <v>http://dx.doi.org/10.5194/tc-19-2949-2025</v>
      </c>
      <c r="BG13" t="s">
        <v>74</v>
      </c>
      <c r="BH13" t="s">
        <v>74</v>
      </c>
      <c r="BI13" t="s">
        <v>74</v>
      </c>
      <c r="BJ13" t="s">
        <v>74</v>
      </c>
      <c r="BK13" t="s">
        <v>74</v>
      </c>
      <c r="BL13" t="s">
        <v>74</v>
      </c>
      <c r="BM13" t="s">
        <v>74</v>
      </c>
      <c r="BN13" t="s">
        <v>74</v>
      </c>
      <c r="BO13" t="s">
        <v>74</v>
      </c>
      <c r="BP13" t="s">
        <v>74</v>
      </c>
      <c r="BQ13" t="s">
        <v>74</v>
      </c>
      <c r="BR13" t="s">
        <v>74</v>
      </c>
      <c r="BS13" t="s">
        <v>1006</v>
      </c>
      <c r="BT13" t="str">
        <f>HYPERLINK("https%3A%2F%2Fwww.webofscience.com%2Fwos%2Fwoscc%2Ffull-record%2FWOS:001545179200001","View Full Record in Web of Science")</f>
        <v>View Full Record in Web of Science</v>
      </c>
    </row>
    <row r="14" spans="1:72" x14ac:dyDescent="0.15">
      <c r="A14" t="s">
        <v>72</v>
      </c>
      <c r="B14" t="s">
        <v>1007</v>
      </c>
      <c r="C14" t="s">
        <v>74</v>
      </c>
      <c r="D14" t="s">
        <v>74</v>
      </c>
      <c r="E14" t="s">
        <v>74</v>
      </c>
      <c r="F14" t="s">
        <v>1008</v>
      </c>
      <c r="G14" t="s">
        <v>74</v>
      </c>
      <c r="H14" t="s">
        <v>74</v>
      </c>
      <c r="I14" t="s">
        <v>1009</v>
      </c>
      <c r="J14" t="s">
        <v>399</v>
      </c>
      <c r="K14" t="s">
        <v>74</v>
      </c>
      <c r="L14" t="s">
        <v>74</v>
      </c>
      <c r="M14" t="s">
        <v>74</v>
      </c>
      <c r="N14" t="s">
        <v>74</v>
      </c>
      <c r="O14" t="s">
        <v>74</v>
      </c>
      <c r="P14" t="s">
        <v>74</v>
      </c>
      <c r="Q14" t="s">
        <v>74</v>
      </c>
      <c r="R14" t="s">
        <v>74</v>
      </c>
      <c r="S14" t="s">
        <v>74</v>
      </c>
      <c r="T14" t="s">
        <v>74</v>
      </c>
      <c r="U14" t="s">
        <v>74</v>
      </c>
      <c r="V14" t="s">
        <v>1010</v>
      </c>
      <c r="W14" t="s">
        <v>74</v>
      </c>
      <c r="X14" t="s">
        <v>74</v>
      </c>
      <c r="Y14" t="s">
        <v>74</v>
      </c>
      <c r="Z14" t="s">
        <v>74</v>
      </c>
      <c r="AA14" t="s">
        <v>74</v>
      </c>
      <c r="AB14" t="s">
        <v>74</v>
      </c>
      <c r="AC14" t="s">
        <v>74</v>
      </c>
      <c r="AD14" t="s">
        <v>74</v>
      </c>
      <c r="AE14" t="s">
        <v>74</v>
      </c>
      <c r="AF14" t="s">
        <v>74</v>
      </c>
      <c r="AG14" t="s">
        <v>74</v>
      </c>
      <c r="AH14" t="s">
        <v>74</v>
      </c>
      <c r="AI14" t="s">
        <v>74</v>
      </c>
      <c r="AJ14" t="s">
        <v>74</v>
      </c>
      <c r="AK14" t="s">
        <v>74</v>
      </c>
      <c r="AL14" t="s">
        <v>74</v>
      </c>
      <c r="AM14" t="s">
        <v>74</v>
      </c>
      <c r="AN14" t="s">
        <v>74</v>
      </c>
      <c r="AO14" t="s">
        <v>403</v>
      </c>
      <c r="AP14" t="s">
        <v>404</v>
      </c>
      <c r="AQ14" t="s">
        <v>74</v>
      </c>
      <c r="AR14" t="s">
        <v>74</v>
      </c>
      <c r="AS14" t="s">
        <v>74</v>
      </c>
      <c r="AT14" t="s">
        <v>666</v>
      </c>
      <c r="AU14">
        <v>2025</v>
      </c>
      <c r="AV14">
        <v>26</v>
      </c>
      <c r="AW14">
        <v>8</v>
      </c>
      <c r="AX14" t="s">
        <v>74</v>
      </c>
      <c r="AY14" t="s">
        <v>74</v>
      </c>
      <c r="AZ14" t="s">
        <v>74</v>
      </c>
      <c r="BA14" t="s">
        <v>74</v>
      </c>
      <c r="BB14">
        <v>1101</v>
      </c>
      <c r="BC14">
        <v>1114</v>
      </c>
      <c r="BD14" t="s">
        <v>74</v>
      </c>
      <c r="BE14" t="s">
        <v>1011</v>
      </c>
      <c r="BF14" t="str">
        <f>HYPERLINK("http://dx.doi.org/10.1175/JHM-D-24-0148.1","http://dx.doi.org/10.1175/JHM-D-24-0148.1")</f>
        <v>http://dx.doi.org/10.1175/JHM-D-24-0148.1</v>
      </c>
      <c r="BG14" t="s">
        <v>74</v>
      </c>
      <c r="BH14" t="s">
        <v>74</v>
      </c>
      <c r="BI14" t="s">
        <v>74</v>
      </c>
      <c r="BJ14" t="s">
        <v>74</v>
      </c>
      <c r="BK14" t="s">
        <v>74</v>
      </c>
      <c r="BL14" t="s">
        <v>74</v>
      </c>
      <c r="BM14" t="s">
        <v>74</v>
      </c>
      <c r="BN14" t="s">
        <v>74</v>
      </c>
      <c r="BO14" t="s">
        <v>74</v>
      </c>
      <c r="BP14" t="s">
        <v>74</v>
      </c>
      <c r="BQ14" t="s">
        <v>74</v>
      </c>
      <c r="BR14" t="s">
        <v>74</v>
      </c>
      <c r="BS14" t="s">
        <v>1012</v>
      </c>
      <c r="BT14" t="str">
        <f>HYPERLINK("https%3A%2F%2Fwww.webofscience.com%2Fwos%2Fwoscc%2Ffull-record%2FWOS:001656245200002","View Full Record in Web of Science")</f>
        <v>View Full Record in Web of Science</v>
      </c>
    </row>
    <row r="15" spans="1:72" x14ac:dyDescent="0.15">
      <c r="A15" t="s">
        <v>72</v>
      </c>
      <c r="B15" t="s">
        <v>1013</v>
      </c>
      <c r="C15" t="s">
        <v>74</v>
      </c>
      <c r="D15" t="s">
        <v>74</v>
      </c>
      <c r="E15" t="s">
        <v>74</v>
      </c>
      <c r="F15" t="s">
        <v>1014</v>
      </c>
      <c r="G15" t="s">
        <v>74</v>
      </c>
      <c r="H15" t="s">
        <v>74</v>
      </c>
      <c r="I15" t="s">
        <v>1015</v>
      </c>
      <c r="J15" t="s">
        <v>77</v>
      </c>
      <c r="K15" t="s">
        <v>74</v>
      </c>
      <c r="L15" t="s">
        <v>74</v>
      </c>
      <c r="M15" t="s">
        <v>74</v>
      </c>
      <c r="N15" t="s">
        <v>74</v>
      </c>
      <c r="O15" t="s">
        <v>74</v>
      </c>
      <c r="P15" t="s">
        <v>74</v>
      </c>
      <c r="Q15" t="s">
        <v>74</v>
      </c>
      <c r="R15" t="s">
        <v>74</v>
      </c>
      <c r="S15" t="s">
        <v>74</v>
      </c>
      <c r="T15" t="s">
        <v>74</v>
      </c>
      <c r="U15" t="s">
        <v>74</v>
      </c>
      <c r="V15" t="s">
        <v>1016</v>
      </c>
      <c r="W15" t="s">
        <v>74</v>
      </c>
      <c r="X15" t="s">
        <v>74</v>
      </c>
      <c r="Y15" t="s">
        <v>74</v>
      </c>
      <c r="Z15" t="s">
        <v>74</v>
      </c>
      <c r="AA15" t="s">
        <v>1017</v>
      </c>
      <c r="AB15" t="s">
        <v>1018</v>
      </c>
      <c r="AC15" t="s">
        <v>74</v>
      </c>
      <c r="AD15" t="s">
        <v>74</v>
      </c>
      <c r="AE15" t="s">
        <v>74</v>
      </c>
      <c r="AF15" t="s">
        <v>74</v>
      </c>
      <c r="AG15" t="s">
        <v>74</v>
      </c>
      <c r="AH15" t="s">
        <v>74</v>
      </c>
      <c r="AI15" t="s">
        <v>74</v>
      </c>
      <c r="AJ15" t="s">
        <v>74</v>
      </c>
      <c r="AK15" t="s">
        <v>74</v>
      </c>
      <c r="AL15" t="s">
        <v>74</v>
      </c>
      <c r="AM15" t="s">
        <v>74</v>
      </c>
      <c r="AN15" t="s">
        <v>74</v>
      </c>
      <c r="AO15" t="s">
        <v>79</v>
      </c>
      <c r="AP15" t="s">
        <v>80</v>
      </c>
      <c r="AQ15" t="s">
        <v>74</v>
      </c>
      <c r="AR15" t="s">
        <v>74</v>
      </c>
      <c r="AS15" t="s">
        <v>74</v>
      </c>
      <c r="AT15" t="s">
        <v>1019</v>
      </c>
      <c r="AU15">
        <v>2025</v>
      </c>
      <c r="AV15">
        <v>19</v>
      </c>
      <c r="AW15">
        <v>7</v>
      </c>
      <c r="AX15" t="s">
        <v>74</v>
      </c>
      <c r="AY15" t="s">
        <v>74</v>
      </c>
      <c r="AZ15" t="s">
        <v>74</v>
      </c>
      <c r="BA15" t="s">
        <v>74</v>
      </c>
      <c r="BB15">
        <v>2407</v>
      </c>
      <c r="BC15">
        <v>2429</v>
      </c>
      <c r="BD15" t="s">
        <v>74</v>
      </c>
      <c r="BE15" t="s">
        <v>1020</v>
      </c>
      <c r="BF15" t="str">
        <f>HYPERLINK("http://dx.doi.org/10.5194/tc-19-2407-2025","http://dx.doi.org/10.5194/tc-19-2407-2025")</f>
        <v>http://dx.doi.org/10.5194/tc-19-2407-2025</v>
      </c>
      <c r="BG15" t="s">
        <v>74</v>
      </c>
      <c r="BH15" t="s">
        <v>74</v>
      </c>
      <c r="BI15" t="s">
        <v>74</v>
      </c>
      <c r="BJ15" t="s">
        <v>74</v>
      </c>
      <c r="BK15" t="s">
        <v>74</v>
      </c>
      <c r="BL15" t="s">
        <v>74</v>
      </c>
      <c r="BM15" t="s">
        <v>74</v>
      </c>
      <c r="BN15" t="s">
        <v>74</v>
      </c>
      <c r="BO15" t="s">
        <v>74</v>
      </c>
      <c r="BP15" t="s">
        <v>74</v>
      </c>
      <c r="BQ15" t="s">
        <v>74</v>
      </c>
      <c r="BR15" t="s">
        <v>74</v>
      </c>
      <c r="BS15" t="s">
        <v>1021</v>
      </c>
      <c r="BT15" t="str">
        <f>HYPERLINK("https%3A%2F%2Fwww.webofscience.com%2Fwos%2Fwoscc%2Ffull-record%2FWOS:001522230600001","View Full Record in Web of Science")</f>
        <v>View Full Record in Web of Science</v>
      </c>
    </row>
    <row r="16" spans="1:72" x14ac:dyDescent="0.15">
      <c r="A16" t="s">
        <v>72</v>
      </c>
      <c r="B16" t="s">
        <v>168</v>
      </c>
      <c r="C16" t="s">
        <v>74</v>
      </c>
      <c r="D16" t="s">
        <v>74</v>
      </c>
      <c r="E16" t="s">
        <v>74</v>
      </c>
      <c r="F16" t="s">
        <v>169</v>
      </c>
      <c r="G16" t="s">
        <v>74</v>
      </c>
      <c r="H16" t="s">
        <v>74</v>
      </c>
      <c r="I16" t="s">
        <v>170</v>
      </c>
      <c r="J16" t="s">
        <v>171</v>
      </c>
      <c r="L16" t="s">
        <v>74</v>
      </c>
      <c r="M16" t="s">
        <v>74</v>
      </c>
      <c r="N16" t="s">
        <v>74</v>
      </c>
      <c r="O16" t="s">
        <v>74</v>
      </c>
      <c r="P16" t="s">
        <v>74</v>
      </c>
      <c r="Q16" t="s">
        <v>74</v>
      </c>
      <c r="R16" t="s">
        <v>74</v>
      </c>
      <c r="S16" t="s">
        <v>74</v>
      </c>
      <c r="T16" t="s">
        <v>74</v>
      </c>
      <c r="U16" t="s">
        <v>74</v>
      </c>
      <c r="V16" t="s">
        <v>172</v>
      </c>
      <c r="W16" t="s">
        <v>74</v>
      </c>
      <c r="X16" t="s">
        <v>74</v>
      </c>
      <c r="Y16" t="s">
        <v>74</v>
      </c>
      <c r="Z16" t="s">
        <v>74</v>
      </c>
      <c r="AA16" t="s">
        <v>173</v>
      </c>
      <c r="AB16" t="s">
        <v>174</v>
      </c>
      <c r="AC16" t="s">
        <v>74</v>
      </c>
      <c r="AD16" t="s">
        <v>74</v>
      </c>
      <c r="AE16" t="s">
        <v>74</v>
      </c>
      <c r="AF16" t="s">
        <v>74</v>
      </c>
      <c r="AG16" t="s">
        <v>74</v>
      </c>
      <c r="AH16" t="s">
        <v>74</v>
      </c>
      <c r="AI16" t="s">
        <v>74</v>
      </c>
      <c r="AJ16" t="s">
        <v>74</v>
      </c>
      <c r="AK16" t="s">
        <v>74</v>
      </c>
      <c r="AL16" t="s">
        <v>74</v>
      </c>
      <c r="AM16" t="s">
        <v>74</v>
      </c>
      <c r="AN16" t="s">
        <v>74</v>
      </c>
      <c r="AO16" t="s">
        <v>175</v>
      </c>
      <c r="AP16" t="s">
        <v>176</v>
      </c>
      <c r="AQ16" t="s">
        <v>74</v>
      </c>
      <c r="AR16" t="s">
        <v>74</v>
      </c>
      <c r="AS16" t="s">
        <v>74</v>
      </c>
      <c r="AT16" t="s">
        <v>177</v>
      </c>
      <c r="AU16">
        <v>2025</v>
      </c>
      <c r="AV16">
        <v>39</v>
      </c>
      <c r="AW16">
        <v>12</v>
      </c>
      <c r="AX16" t="s">
        <v>74</v>
      </c>
      <c r="AY16" t="s">
        <v>74</v>
      </c>
      <c r="AZ16" t="s">
        <v>74</v>
      </c>
      <c r="BA16" t="s">
        <v>74</v>
      </c>
      <c r="BB16">
        <v>6053</v>
      </c>
      <c r="BC16">
        <v>6071</v>
      </c>
      <c r="BD16" t="s">
        <v>74</v>
      </c>
      <c r="BE16" t="s">
        <v>178</v>
      </c>
      <c r="BF16" t="str">
        <f>HYPERLINK("http://dx.doi.org/10.1007/s11269-025-04240-4","http://dx.doi.org/10.1007/s11269-025-04240-4")</f>
        <v>http://dx.doi.org/10.1007/s11269-025-04240-4</v>
      </c>
      <c r="BG16" t="s">
        <v>74</v>
      </c>
      <c r="BH16" t="s">
        <v>179</v>
      </c>
      <c r="BI16" t="s">
        <v>74</v>
      </c>
      <c r="BJ16" t="s">
        <v>74</v>
      </c>
      <c r="BK16" t="s">
        <v>74</v>
      </c>
      <c r="BL16" t="s">
        <v>74</v>
      </c>
      <c r="BM16" t="s">
        <v>74</v>
      </c>
      <c r="BN16" t="s">
        <v>74</v>
      </c>
      <c r="BO16" t="s">
        <v>74</v>
      </c>
      <c r="BP16" t="s">
        <v>74</v>
      </c>
      <c r="BQ16" t="s">
        <v>74</v>
      </c>
      <c r="BR16" t="s">
        <v>74</v>
      </c>
      <c r="BS16" t="s">
        <v>180</v>
      </c>
      <c r="BT16" t="str">
        <f>HYPERLINK("https%3A%2F%2Fwww.webofscience.com%2Fwos%2Fwoscc%2Ffull-record%2FWOS:001489326400001","View Full Record in Web of Science")</f>
        <v>View Full Record in Web of Science</v>
      </c>
    </row>
    <row r="17" spans="1:72" x14ac:dyDescent="0.15">
      <c r="A17" t="s">
        <v>72</v>
      </c>
      <c r="B17" t="s">
        <v>1022</v>
      </c>
      <c r="C17" t="s">
        <v>74</v>
      </c>
      <c r="D17" t="s">
        <v>74</v>
      </c>
      <c r="E17" t="s">
        <v>74</v>
      </c>
      <c r="F17" t="s">
        <v>1023</v>
      </c>
      <c r="G17" t="s">
        <v>74</v>
      </c>
      <c r="H17" t="s">
        <v>74</v>
      </c>
      <c r="I17" t="s">
        <v>1024</v>
      </c>
      <c r="J17" t="s">
        <v>122</v>
      </c>
      <c r="K17" t="s">
        <v>74</v>
      </c>
      <c r="L17" t="s">
        <v>74</v>
      </c>
      <c r="M17" t="s">
        <v>74</v>
      </c>
      <c r="N17" t="s">
        <v>74</v>
      </c>
      <c r="O17" t="s">
        <v>74</v>
      </c>
      <c r="P17" t="s">
        <v>74</v>
      </c>
      <c r="Q17" t="s">
        <v>74</v>
      </c>
      <c r="R17" t="s">
        <v>74</v>
      </c>
      <c r="S17" t="s">
        <v>74</v>
      </c>
      <c r="T17" t="s">
        <v>74</v>
      </c>
      <c r="U17" t="s">
        <v>74</v>
      </c>
      <c r="V17" t="s">
        <v>1025</v>
      </c>
      <c r="W17" t="s">
        <v>74</v>
      </c>
      <c r="X17" t="s">
        <v>74</v>
      </c>
      <c r="Y17" t="s">
        <v>74</v>
      </c>
      <c r="Z17" t="s">
        <v>74</v>
      </c>
      <c r="AA17" t="s">
        <v>1026</v>
      </c>
      <c r="AB17" t="s">
        <v>74</v>
      </c>
      <c r="AC17" t="s">
        <v>74</v>
      </c>
      <c r="AD17" t="s">
        <v>74</v>
      </c>
      <c r="AE17" t="s">
        <v>74</v>
      </c>
      <c r="AF17" t="s">
        <v>74</v>
      </c>
      <c r="AG17" t="s">
        <v>74</v>
      </c>
      <c r="AH17" t="s">
        <v>74</v>
      </c>
      <c r="AI17" t="s">
        <v>74</v>
      </c>
      <c r="AJ17" t="s">
        <v>74</v>
      </c>
      <c r="AK17" t="s">
        <v>74</v>
      </c>
      <c r="AL17" t="s">
        <v>74</v>
      </c>
      <c r="AM17" t="s">
        <v>74</v>
      </c>
      <c r="AN17" t="s">
        <v>74</v>
      </c>
      <c r="AO17" t="s">
        <v>126</v>
      </c>
      <c r="AP17" t="s">
        <v>127</v>
      </c>
      <c r="AQ17" t="s">
        <v>74</v>
      </c>
      <c r="AR17" t="s">
        <v>74</v>
      </c>
      <c r="AS17" t="s">
        <v>74</v>
      </c>
      <c r="AT17" t="s">
        <v>675</v>
      </c>
      <c r="AU17">
        <v>2025</v>
      </c>
      <c r="AV17">
        <v>323</v>
      </c>
      <c r="AW17" t="s">
        <v>74</v>
      </c>
      <c r="AX17" t="s">
        <v>74</v>
      </c>
      <c r="AY17" t="s">
        <v>74</v>
      </c>
      <c r="AZ17" t="s">
        <v>74</v>
      </c>
      <c r="BA17" t="s">
        <v>74</v>
      </c>
      <c r="BB17" t="s">
        <v>74</v>
      </c>
      <c r="BC17" t="s">
        <v>74</v>
      </c>
      <c r="BD17">
        <v>114693</v>
      </c>
      <c r="BE17" t="s">
        <v>1027</v>
      </c>
      <c r="BF17" t="str">
        <f>HYPERLINK("http://dx.doi.org/10.1016/j.rse.2025.114693","http://dx.doi.org/10.1016/j.rse.2025.114693")</f>
        <v>http://dx.doi.org/10.1016/j.rse.2025.114693</v>
      </c>
      <c r="BG17" t="s">
        <v>74</v>
      </c>
      <c r="BH17" t="s">
        <v>192</v>
      </c>
      <c r="BI17" t="s">
        <v>74</v>
      </c>
      <c r="BJ17" t="s">
        <v>74</v>
      </c>
      <c r="BK17" t="s">
        <v>74</v>
      </c>
      <c r="BL17" t="s">
        <v>74</v>
      </c>
      <c r="BM17" t="s">
        <v>74</v>
      </c>
      <c r="BN17" t="s">
        <v>74</v>
      </c>
      <c r="BO17" t="s">
        <v>74</v>
      </c>
      <c r="BP17" t="s">
        <v>74</v>
      </c>
      <c r="BQ17" t="s">
        <v>74</v>
      </c>
      <c r="BR17" t="s">
        <v>74</v>
      </c>
      <c r="BS17" t="s">
        <v>1028</v>
      </c>
      <c r="BT17" t="str">
        <f>HYPERLINK("https%3A%2F%2Fwww.webofscience.com%2Fwos%2Fwoscc%2Ffull-record%2FWOS:001461615000001","View Full Record in Web of Science")</f>
        <v>View Full Record in Web of Science</v>
      </c>
    </row>
    <row r="18" spans="1:72" x14ac:dyDescent="0.15">
      <c r="A18" t="s">
        <v>72</v>
      </c>
      <c r="B18" t="s">
        <v>241</v>
      </c>
      <c r="C18" t="s">
        <v>74</v>
      </c>
      <c r="D18" t="s">
        <v>74</v>
      </c>
      <c r="E18" t="s">
        <v>74</v>
      </c>
      <c r="F18" t="s">
        <v>242</v>
      </c>
      <c r="G18" t="s">
        <v>74</v>
      </c>
      <c r="H18" t="s">
        <v>74</v>
      </c>
      <c r="I18" t="s">
        <v>243</v>
      </c>
      <c r="J18" t="s">
        <v>244</v>
      </c>
      <c r="K18" t="s">
        <v>74</v>
      </c>
      <c r="L18" t="s">
        <v>74</v>
      </c>
      <c r="M18" t="s">
        <v>74</v>
      </c>
      <c r="N18" t="s">
        <v>74</v>
      </c>
      <c r="O18" t="s">
        <v>74</v>
      </c>
      <c r="P18" t="s">
        <v>74</v>
      </c>
      <c r="Q18" t="s">
        <v>74</v>
      </c>
      <c r="R18" t="s">
        <v>74</v>
      </c>
      <c r="S18" t="s">
        <v>74</v>
      </c>
      <c r="T18" t="s">
        <v>74</v>
      </c>
      <c r="U18" t="s">
        <v>74</v>
      </c>
      <c r="V18" t="s">
        <v>245</v>
      </c>
      <c r="W18" t="s">
        <v>74</v>
      </c>
      <c r="X18" t="s">
        <v>74</v>
      </c>
      <c r="Y18" t="s">
        <v>74</v>
      </c>
      <c r="Z18" t="s">
        <v>74</v>
      </c>
      <c r="AA18" t="s">
        <v>246</v>
      </c>
      <c r="AB18" t="s">
        <v>247</v>
      </c>
      <c r="AC18" t="s">
        <v>74</v>
      </c>
      <c r="AD18" t="s">
        <v>74</v>
      </c>
      <c r="AE18" t="s">
        <v>74</v>
      </c>
      <c r="AF18" t="s">
        <v>74</v>
      </c>
      <c r="AG18" t="s">
        <v>74</v>
      </c>
      <c r="AH18" t="s">
        <v>74</v>
      </c>
      <c r="AI18" t="s">
        <v>74</v>
      </c>
      <c r="AJ18" t="s">
        <v>74</v>
      </c>
      <c r="AK18" t="s">
        <v>74</v>
      </c>
      <c r="AL18" t="s">
        <v>74</v>
      </c>
      <c r="AM18" t="s">
        <v>74</v>
      </c>
      <c r="AN18" t="s">
        <v>74</v>
      </c>
      <c r="AO18" t="s">
        <v>248</v>
      </c>
      <c r="AP18" t="s">
        <v>249</v>
      </c>
      <c r="AQ18" t="s">
        <v>74</v>
      </c>
      <c r="AR18" t="s">
        <v>74</v>
      </c>
      <c r="AS18" t="s">
        <v>74</v>
      </c>
      <c r="AT18" t="s">
        <v>74</v>
      </c>
      <c r="AU18">
        <v>2025</v>
      </c>
      <c r="AV18">
        <v>18</v>
      </c>
      <c r="AW18" t="s">
        <v>74</v>
      </c>
      <c r="AX18" t="s">
        <v>74</v>
      </c>
      <c r="AY18" t="s">
        <v>74</v>
      </c>
      <c r="AZ18" t="s">
        <v>74</v>
      </c>
      <c r="BA18" t="s">
        <v>74</v>
      </c>
      <c r="BB18">
        <v>27979</v>
      </c>
      <c r="BC18">
        <v>27992</v>
      </c>
      <c r="BD18" t="s">
        <v>74</v>
      </c>
      <c r="BE18" t="s">
        <v>250</v>
      </c>
      <c r="BF18" t="str">
        <f>HYPERLINK("http://dx.doi.org/10.1109/JSTARS.2025.3626728","http://dx.doi.org/10.1109/JSTARS.2025.3626728")</f>
        <v>http://dx.doi.org/10.1109/JSTARS.2025.3626728</v>
      </c>
      <c r="BG18" t="s">
        <v>74</v>
      </c>
      <c r="BH18" t="s">
        <v>74</v>
      </c>
      <c r="BI18" t="s">
        <v>74</v>
      </c>
      <c r="BJ18" t="s">
        <v>74</v>
      </c>
      <c r="BK18" t="s">
        <v>74</v>
      </c>
      <c r="BL18" t="s">
        <v>74</v>
      </c>
      <c r="BM18" t="s">
        <v>74</v>
      </c>
      <c r="BN18" t="s">
        <v>74</v>
      </c>
      <c r="BO18" t="s">
        <v>74</v>
      </c>
      <c r="BP18" t="s">
        <v>74</v>
      </c>
      <c r="BQ18" t="s">
        <v>74</v>
      </c>
      <c r="BR18" t="s">
        <v>74</v>
      </c>
      <c r="BS18" t="s">
        <v>251</v>
      </c>
      <c r="BT18" t="str">
        <f>HYPERLINK("https%3A%2F%2Fwww.webofscience.com%2Fwos%2Fwoscc%2Ffull-record%2FWOS:001626465700006","View Full Record in Web of Science")</f>
        <v>View Full Record in Web of Science</v>
      </c>
    </row>
    <row r="19" spans="1:72" x14ac:dyDescent="0.15">
      <c r="A19" t="s">
        <v>252</v>
      </c>
      <c r="B19" t="s">
        <v>1029</v>
      </c>
      <c r="C19" t="s">
        <v>74</v>
      </c>
      <c r="D19" t="s">
        <v>74</v>
      </c>
      <c r="E19" t="s">
        <v>254</v>
      </c>
      <c r="F19" t="s">
        <v>1030</v>
      </c>
      <c r="G19" t="s">
        <v>74</v>
      </c>
      <c r="H19" t="s">
        <v>74</v>
      </c>
      <c r="I19" t="s">
        <v>1031</v>
      </c>
      <c r="J19" t="s">
        <v>257</v>
      </c>
      <c r="K19" t="s">
        <v>258</v>
      </c>
      <c r="L19" t="s">
        <v>74</v>
      </c>
      <c r="M19" t="s">
        <v>74</v>
      </c>
      <c r="N19" t="s">
        <v>74</v>
      </c>
      <c r="O19" t="s">
        <v>259</v>
      </c>
      <c r="P19" t="s">
        <v>260</v>
      </c>
      <c r="Q19" t="s">
        <v>261</v>
      </c>
      <c r="R19" t="s">
        <v>262</v>
      </c>
      <c r="S19" t="s">
        <v>74</v>
      </c>
      <c r="T19" t="s">
        <v>74</v>
      </c>
      <c r="U19" t="s">
        <v>74</v>
      </c>
      <c r="V19" t="s">
        <v>1032</v>
      </c>
      <c r="W19" t="s">
        <v>74</v>
      </c>
      <c r="X19" t="s">
        <v>74</v>
      </c>
      <c r="Y19" t="s">
        <v>74</v>
      </c>
      <c r="Z19" t="s">
        <v>74</v>
      </c>
      <c r="AA19" t="s">
        <v>74</v>
      </c>
      <c r="AB19" t="s">
        <v>74</v>
      </c>
      <c r="AC19" t="s">
        <v>74</v>
      </c>
      <c r="AD19" t="s">
        <v>74</v>
      </c>
      <c r="AE19" t="s">
        <v>74</v>
      </c>
      <c r="AF19" t="s">
        <v>74</v>
      </c>
      <c r="AG19" t="s">
        <v>74</v>
      </c>
      <c r="AH19" t="s">
        <v>74</v>
      </c>
      <c r="AI19" t="s">
        <v>74</v>
      </c>
      <c r="AJ19" t="s">
        <v>74</v>
      </c>
      <c r="AK19" t="s">
        <v>74</v>
      </c>
      <c r="AL19" t="s">
        <v>74</v>
      </c>
      <c r="AM19" t="s">
        <v>74</v>
      </c>
      <c r="AN19" t="s">
        <v>74</v>
      </c>
      <c r="AO19" t="s">
        <v>265</v>
      </c>
      <c r="AP19" t="s">
        <v>74</v>
      </c>
      <c r="AQ19" t="s">
        <v>266</v>
      </c>
      <c r="AR19" t="s">
        <v>74</v>
      </c>
      <c r="AS19" t="s">
        <v>74</v>
      </c>
      <c r="AT19" t="s">
        <v>74</v>
      </c>
      <c r="AU19">
        <v>2025</v>
      </c>
      <c r="AV19" t="s">
        <v>74</v>
      </c>
      <c r="AW19" t="s">
        <v>74</v>
      </c>
      <c r="AX19" t="s">
        <v>74</v>
      </c>
      <c r="AY19" t="s">
        <v>74</v>
      </c>
      <c r="AZ19" t="s">
        <v>74</v>
      </c>
      <c r="BA19" t="s">
        <v>74</v>
      </c>
      <c r="BB19">
        <v>94</v>
      </c>
      <c r="BC19">
        <v>98</v>
      </c>
      <c r="BD19" t="s">
        <v>74</v>
      </c>
      <c r="BE19" t="s">
        <v>1033</v>
      </c>
      <c r="BF19" t="str">
        <f>HYPERLINK("http://dx.doi.org/10.1109/IGARSS55030.2025.11243450","http://dx.doi.org/10.1109/IGARSS55030.2025.11243450")</f>
        <v>http://dx.doi.org/10.1109/IGARSS55030.2025.11243450</v>
      </c>
      <c r="BG19" t="s">
        <v>74</v>
      </c>
      <c r="BH19" t="s">
        <v>74</v>
      </c>
      <c r="BI19" t="s">
        <v>74</v>
      </c>
      <c r="BJ19" t="s">
        <v>74</v>
      </c>
      <c r="BK19" t="s">
        <v>74</v>
      </c>
      <c r="BL19" t="s">
        <v>74</v>
      </c>
      <c r="BM19" t="s">
        <v>74</v>
      </c>
      <c r="BN19" t="s">
        <v>74</v>
      </c>
      <c r="BO19" t="s">
        <v>74</v>
      </c>
      <c r="BP19" t="s">
        <v>74</v>
      </c>
      <c r="BQ19" t="s">
        <v>74</v>
      </c>
      <c r="BR19" t="s">
        <v>74</v>
      </c>
      <c r="BS19" t="s">
        <v>1034</v>
      </c>
      <c r="BT19" t="str">
        <f>HYPERLINK("https%3A%2F%2Fwww.webofscience.com%2Fwos%2Fwoscc%2Ffull-record%2FWOS:001697407700020","View Full Record in Web of Science")</f>
        <v>View Full Record in Web of Science</v>
      </c>
    </row>
    <row r="20" spans="1:72" x14ac:dyDescent="0.15">
      <c r="A20" t="s">
        <v>72</v>
      </c>
      <c r="B20" t="s">
        <v>1035</v>
      </c>
      <c r="C20" t="s">
        <v>74</v>
      </c>
      <c r="D20" t="s">
        <v>74</v>
      </c>
      <c r="E20" t="s">
        <v>74</v>
      </c>
      <c r="F20" t="s">
        <v>1036</v>
      </c>
      <c r="G20" t="s">
        <v>74</v>
      </c>
      <c r="H20" t="s">
        <v>74</v>
      </c>
      <c r="I20" t="s">
        <v>1037</v>
      </c>
      <c r="J20" t="s">
        <v>96</v>
      </c>
      <c r="K20" t="s">
        <v>74</v>
      </c>
      <c r="L20" t="s">
        <v>74</v>
      </c>
      <c r="M20" t="s">
        <v>74</v>
      </c>
      <c r="N20" t="s">
        <v>74</v>
      </c>
      <c r="O20" t="s">
        <v>74</v>
      </c>
      <c r="P20" t="s">
        <v>74</v>
      </c>
      <c r="Q20" t="s">
        <v>74</v>
      </c>
      <c r="R20" t="s">
        <v>74</v>
      </c>
      <c r="S20" t="s">
        <v>74</v>
      </c>
      <c r="T20" t="s">
        <v>74</v>
      </c>
      <c r="U20" t="s">
        <v>74</v>
      </c>
      <c r="V20" t="s">
        <v>1038</v>
      </c>
      <c r="W20" t="s">
        <v>74</v>
      </c>
      <c r="X20" t="s">
        <v>74</v>
      </c>
      <c r="Y20" t="s">
        <v>74</v>
      </c>
      <c r="Z20" t="s">
        <v>74</v>
      </c>
      <c r="AA20" t="s">
        <v>74</v>
      </c>
      <c r="AB20" t="s">
        <v>1039</v>
      </c>
      <c r="AC20" t="s">
        <v>74</v>
      </c>
      <c r="AD20" t="s">
        <v>74</v>
      </c>
      <c r="AE20" t="s">
        <v>74</v>
      </c>
      <c r="AF20" t="s">
        <v>74</v>
      </c>
      <c r="AG20" t="s">
        <v>74</v>
      </c>
      <c r="AH20" t="s">
        <v>74</v>
      </c>
      <c r="AI20" t="s">
        <v>74</v>
      </c>
      <c r="AJ20" t="s">
        <v>74</v>
      </c>
      <c r="AK20" t="s">
        <v>74</v>
      </c>
      <c r="AL20" t="s">
        <v>74</v>
      </c>
      <c r="AM20" t="s">
        <v>74</v>
      </c>
      <c r="AN20" t="s">
        <v>74</v>
      </c>
      <c r="AO20" t="s">
        <v>99</v>
      </c>
      <c r="AP20" t="s">
        <v>100</v>
      </c>
      <c r="AQ20" t="s">
        <v>74</v>
      </c>
      <c r="AR20" t="s">
        <v>74</v>
      </c>
      <c r="AS20" t="s">
        <v>74</v>
      </c>
      <c r="AT20" t="s">
        <v>74</v>
      </c>
      <c r="AU20">
        <v>2025</v>
      </c>
      <c r="AV20">
        <v>63</v>
      </c>
      <c r="AW20" t="s">
        <v>74</v>
      </c>
      <c r="AX20" t="s">
        <v>74</v>
      </c>
      <c r="AY20" t="s">
        <v>74</v>
      </c>
      <c r="AZ20" t="s">
        <v>74</v>
      </c>
      <c r="BA20" t="s">
        <v>74</v>
      </c>
      <c r="BB20" t="s">
        <v>74</v>
      </c>
      <c r="BC20" t="s">
        <v>74</v>
      </c>
      <c r="BD20">
        <v>4303622</v>
      </c>
      <c r="BE20" t="s">
        <v>1040</v>
      </c>
      <c r="BF20" t="str">
        <f>HYPERLINK("http://dx.doi.org/10.1109/TGRS.2025.3623793","http://dx.doi.org/10.1109/TGRS.2025.3623793")</f>
        <v>http://dx.doi.org/10.1109/TGRS.2025.3623793</v>
      </c>
      <c r="BG20" t="s">
        <v>74</v>
      </c>
      <c r="BH20" t="s">
        <v>74</v>
      </c>
      <c r="BI20" t="s">
        <v>74</v>
      </c>
      <c r="BJ20" t="s">
        <v>74</v>
      </c>
      <c r="BK20" t="s">
        <v>74</v>
      </c>
      <c r="BL20" t="s">
        <v>74</v>
      </c>
      <c r="BM20" t="s">
        <v>74</v>
      </c>
      <c r="BN20" t="s">
        <v>74</v>
      </c>
      <c r="BO20" t="s">
        <v>74</v>
      </c>
      <c r="BP20" t="s">
        <v>74</v>
      </c>
      <c r="BQ20" t="s">
        <v>74</v>
      </c>
      <c r="BR20" t="s">
        <v>74</v>
      </c>
      <c r="BS20" t="s">
        <v>1041</v>
      </c>
      <c r="BT20" t="str">
        <f>HYPERLINK("https%3A%2F%2Fwww.webofscience.com%2Fwos%2Fwoscc%2Ffull-record%2FWOS:001611731400016","View Full Record in Web of Science")</f>
        <v>View Full Record in Web of Science</v>
      </c>
    </row>
    <row r="21" spans="1:72" x14ac:dyDescent="0.15">
      <c r="A21" t="s">
        <v>72</v>
      </c>
      <c r="B21" t="s">
        <v>1042</v>
      </c>
      <c r="C21" t="s">
        <v>74</v>
      </c>
      <c r="D21" t="s">
        <v>74</v>
      </c>
      <c r="E21" t="s">
        <v>74</v>
      </c>
      <c r="F21" t="s">
        <v>1043</v>
      </c>
      <c r="G21" t="s">
        <v>74</v>
      </c>
      <c r="H21" t="s">
        <v>74</v>
      </c>
      <c r="I21" t="s">
        <v>1044</v>
      </c>
      <c r="J21" t="s">
        <v>96</v>
      </c>
      <c r="K21" t="s">
        <v>74</v>
      </c>
      <c r="L21" t="s">
        <v>74</v>
      </c>
      <c r="M21" t="s">
        <v>74</v>
      </c>
      <c r="N21" t="s">
        <v>74</v>
      </c>
      <c r="O21" t="s">
        <v>74</v>
      </c>
      <c r="P21" t="s">
        <v>74</v>
      </c>
      <c r="Q21" t="s">
        <v>74</v>
      </c>
      <c r="R21" t="s">
        <v>74</v>
      </c>
      <c r="S21" t="s">
        <v>74</v>
      </c>
      <c r="T21" t="s">
        <v>74</v>
      </c>
      <c r="U21" t="s">
        <v>74</v>
      </c>
      <c r="V21" t="s">
        <v>1045</v>
      </c>
      <c r="W21" t="s">
        <v>74</v>
      </c>
      <c r="X21" t="s">
        <v>74</v>
      </c>
      <c r="Y21" t="s">
        <v>74</v>
      </c>
      <c r="Z21" t="s">
        <v>74</v>
      </c>
      <c r="AA21" t="s">
        <v>1046</v>
      </c>
      <c r="AB21" t="s">
        <v>1047</v>
      </c>
      <c r="AC21" t="s">
        <v>74</v>
      </c>
      <c r="AD21" t="s">
        <v>74</v>
      </c>
      <c r="AE21" t="s">
        <v>74</v>
      </c>
      <c r="AF21" t="s">
        <v>74</v>
      </c>
      <c r="AG21" t="s">
        <v>74</v>
      </c>
      <c r="AH21" t="s">
        <v>74</v>
      </c>
      <c r="AI21" t="s">
        <v>74</v>
      </c>
      <c r="AJ21" t="s">
        <v>74</v>
      </c>
      <c r="AK21" t="s">
        <v>74</v>
      </c>
      <c r="AL21" t="s">
        <v>74</v>
      </c>
      <c r="AM21" t="s">
        <v>74</v>
      </c>
      <c r="AN21" t="s">
        <v>74</v>
      </c>
      <c r="AO21" t="s">
        <v>99</v>
      </c>
      <c r="AP21" t="s">
        <v>100</v>
      </c>
      <c r="AQ21" t="s">
        <v>74</v>
      </c>
      <c r="AR21" t="s">
        <v>74</v>
      </c>
      <c r="AS21" t="s">
        <v>74</v>
      </c>
      <c r="AT21" t="s">
        <v>74</v>
      </c>
      <c r="AU21">
        <v>2025</v>
      </c>
      <c r="AV21">
        <v>63</v>
      </c>
      <c r="AW21" t="s">
        <v>74</v>
      </c>
      <c r="AX21" t="s">
        <v>74</v>
      </c>
      <c r="AY21" t="s">
        <v>74</v>
      </c>
      <c r="AZ21" t="s">
        <v>74</v>
      </c>
      <c r="BA21" t="s">
        <v>74</v>
      </c>
      <c r="BB21" t="s">
        <v>74</v>
      </c>
      <c r="BC21" t="s">
        <v>74</v>
      </c>
      <c r="BD21">
        <v>4303415</v>
      </c>
      <c r="BE21" t="s">
        <v>1048</v>
      </c>
      <c r="BF21" t="str">
        <f>HYPERLINK("http://dx.doi.org/10.1109/TGRS.2025.3597950","http://dx.doi.org/10.1109/TGRS.2025.3597950")</f>
        <v>http://dx.doi.org/10.1109/TGRS.2025.3597950</v>
      </c>
      <c r="BG21" t="s">
        <v>74</v>
      </c>
      <c r="BH21" t="s">
        <v>74</v>
      </c>
      <c r="BI21" t="s">
        <v>74</v>
      </c>
      <c r="BJ21" t="s">
        <v>74</v>
      </c>
      <c r="BK21" t="s">
        <v>74</v>
      </c>
      <c r="BL21" t="s">
        <v>74</v>
      </c>
      <c r="BM21" t="s">
        <v>74</v>
      </c>
      <c r="BN21" t="s">
        <v>74</v>
      </c>
      <c r="BO21" t="s">
        <v>74</v>
      </c>
      <c r="BP21" t="s">
        <v>74</v>
      </c>
      <c r="BQ21" t="s">
        <v>74</v>
      </c>
      <c r="BR21" t="s">
        <v>74</v>
      </c>
      <c r="BS21" t="s">
        <v>1049</v>
      </c>
      <c r="BT21" t="str">
        <f>HYPERLINK("https%3A%2F%2Fwww.webofscience.com%2Fwos%2Fwoscc%2Ffull-record%2FWOS:001606670800003","View Full Record in Web of Science")</f>
        <v>View Full Record in Web of Science</v>
      </c>
    </row>
    <row r="22" spans="1:72" x14ac:dyDescent="0.15">
      <c r="A22" t="s">
        <v>72</v>
      </c>
      <c r="B22" t="s">
        <v>269</v>
      </c>
      <c r="C22" t="s">
        <v>74</v>
      </c>
      <c r="D22" t="s">
        <v>74</v>
      </c>
      <c r="E22" t="s">
        <v>74</v>
      </c>
      <c r="F22" t="s">
        <v>270</v>
      </c>
      <c r="G22" t="s">
        <v>74</v>
      </c>
      <c r="H22" t="s">
        <v>74</v>
      </c>
      <c r="I22" t="s">
        <v>271</v>
      </c>
      <c r="J22" t="s">
        <v>244</v>
      </c>
      <c r="K22" t="s">
        <v>74</v>
      </c>
      <c r="L22" t="s">
        <v>74</v>
      </c>
      <c r="M22" t="s">
        <v>74</v>
      </c>
      <c r="N22" t="s">
        <v>74</v>
      </c>
      <c r="O22" t="s">
        <v>74</v>
      </c>
      <c r="P22" t="s">
        <v>74</v>
      </c>
      <c r="Q22" t="s">
        <v>74</v>
      </c>
      <c r="R22" t="s">
        <v>74</v>
      </c>
      <c r="S22" t="s">
        <v>74</v>
      </c>
      <c r="T22" t="s">
        <v>74</v>
      </c>
      <c r="U22" t="s">
        <v>74</v>
      </c>
      <c r="V22" t="s">
        <v>272</v>
      </c>
      <c r="W22" t="s">
        <v>74</v>
      </c>
      <c r="X22" t="s">
        <v>74</v>
      </c>
      <c r="Y22" t="s">
        <v>74</v>
      </c>
      <c r="Z22" t="s">
        <v>74</v>
      </c>
      <c r="AA22" t="s">
        <v>273</v>
      </c>
      <c r="AB22" t="s">
        <v>274</v>
      </c>
      <c r="AC22" t="s">
        <v>74</v>
      </c>
      <c r="AD22" t="s">
        <v>74</v>
      </c>
      <c r="AE22" t="s">
        <v>74</v>
      </c>
      <c r="AF22" t="s">
        <v>74</v>
      </c>
      <c r="AG22" t="s">
        <v>74</v>
      </c>
      <c r="AH22" t="s">
        <v>74</v>
      </c>
      <c r="AI22" t="s">
        <v>74</v>
      </c>
      <c r="AJ22" t="s">
        <v>74</v>
      </c>
      <c r="AK22" t="s">
        <v>74</v>
      </c>
      <c r="AL22" t="s">
        <v>74</v>
      </c>
      <c r="AM22" t="s">
        <v>74</v>
      </c>
      <c r="AN22" t="s">
        <v>74</v>
      </c>
      <c r="AO22" t="s">
        <v>248</v>
      </c>
      <c r="AP22" t="s">
        <v>249</v>
      </c>
      <c r="AQ22" t="s">
        <v>74</v>
      </c>
      <c r="AR22" t="s">
        <v>74</v>
      </c>
      <c r="AS22" t="s">
        <v>74</v>
      </c>
      <c r="AT22" t="s">
        <v>74</v>
      </c>
      <c r="AU22">
        <v>2025</v>
      </c>
      <c r="AV22">
        <v>18</v>
      </c>
      <c r="AW22" t="s">
        <v>74</v>
      </c>
      <c r="AX22" t="s">
        <v>74</v>
      </c>
      <c r="AY22" t="s">
        <v>74</v>
      </c>
      <c r="AZ22" t="s">
        <v>74</v>
      </c>
      <c r="BA22" t="s">
        <v>74</v>
      </c>
      <c r="BB22">
        <v>11250</v>
      </c>
      <c r="BC22">
        <v>11262</v>
      </c>
      <c r="BD22" t="s">
        <v>74</v>
      </c>
      <c r="BE22" t="s">
        <v>275</v>
      </c>
      <c r="BF22" t="str">
        <f>HYPERLINK("http://dx.doi.org/10.1109/JSTARS.2025.3562216","http://dx.doi.org/10.1109/JSTARS.2025.3562216")</f>
        <v>http://dx.doi.org/10.1109/JSTARS.2025.3562216</v>
      </c>
      <c r="BG22" t="s">
        <v>74</v>
      </c>
      <c r="BH22" t="s">
        <v>74</v>
      </c>
      <c r="BI22" t="s">
        <v>74</v>
      </c>
      <c r="BJ22" t="s">
        <v>74</v>
      </c>
      <c r="BK22" t="s">
        <v>74</v>
      </c>
      <c r="BL22" t="s">
        <v>74</v>
      </c>
      <c r="BM22" t="s">
        <v>74</v>
      </c>
      <c r="BN22" t="s">
        <v>74</v>
      </c>
      <c r="BO22" t="s">
        <v>74</v>
      </c>
      <c r="BP22" t="s">
        <v>74</v>
      </c>
      <c r="BQ22" t="s">
        <v>74</v>
      </c>
      <c r="BR22" t="s">
        <v>74</v>
      </c>
      <c r="BS22" t="s">
        <v>276</v>
      </c>
      <c r="BT22" t="str">
        <f>HYPERLINK("https%3A%2F%2Fwww.webofscience.com%2Fwos%2Fwoscc%2Ffull-record%2FWOS:001484675600007","View Full Record in Web of Science")</f>
        <v>View Full Record in Web of Science</v>
      </c>
    </row>
    <row r="23" spans="1:72" x14ac:dyDescent="0.15">
      <c r="A23" t="s">
        <v>252</v>
      </c>
      <c r="B23" t="s">
        <v>1050</v>
      </c>
      <c r="C23" t="s">
        <v>74</v>
      </c>
      <c r="D23" t="s">
        <v>74</v>
      </c>
      <c r="E23" t="s">
        <v>254</v>
      </c>
      <c r="F23" t="s">
        <v>1051</v>
      </c>
      <c r="G23" t="s">
        <v>74</v>
      </c>
      <c r="H23" t="s">
        <v>74</v>
      </c>
      <c r="I23" t="s">
        <v>1052</v>
      </c>
      <c r="J23" t="s">
        <v>257</v>
      </c>
      <c r="K23" t="s">
        <v>258</v>
      </c>
      <c r="L23" t="s">
        <v>74</v>
      </c>
      <c r="M23" t="s">
        <v>74</v>
      </c>
      <c r="N23" t="s">
        <v>74</v>
      </c>
      <c r="O23" t="s">
        <v>259</v>
      </c>
      <c r="P23" t="s">
        <v>260</v>
      </c>
      <c r="Q23" t="s">
        <v>261</v>
      </c>
      <c r="R23" t="s">
        <v>262</v>
      </c>
      <c r="S23" t="s">
        <v>74</v>
      </c>
      <c r="T23" t="s">
        <v>74</v>
      </c>
      <c r="U23" t="s">
        <v>74</v>
      </c>
      <c r="V23" t="s">
        <v>1053</v>
      </c>
      <c r="W23" t="s">
        <v>74</v>
      </c>
      <c r="X23" t="s">
        <v>74</v>
      </c>
      <c r="Y23" t="s">
        <v>74</v>
      </c>
      <c r="Z23" t="s">
        <v>74</v>
      </c>
      <c r="AA23" t="s">
        <v>846</v>
      </c>
      <c r="AB23" t="s">
        <v>74</v>
      </c>
      <c r="AC23" t="s">
        <v>74</v>
      </c>
      <c r="AD23" t="s">
        <v>74</v>
      </c>
      <c r="AE23" t="s">
        <v>74</v>
      </c>
      <c r="AF23" t="s">
        <v>74</v>
      </c>
      <c r="AG23" t="s">
        <v>74</v>
      </c>
      <c r="AH23" t="s">
        <v>74</v>
      </c>
      <c r="AI23" t="s">
        <v>74</v>
      </c>
      <c r="AJ23" t="s">
        <v>74</v>
      </c>
      <c r="AK23" t="s">
        <v>74</v>
      </c>
      <c r="AL23" t="s">
        <v>74</v>
      </c>
      <c r="AM23" t="s">
        <v>74</v>
      </c>
      <c r="AN23" t="s">
        <v>74</v>
      </c>
      <c r="AO23" t="s">
        <v>265</v>
      </c>
      <c r="AP23" t="s">
        <v>74</v>
      </c>
      <c r="AQ23" t="s">
        <v>266</v>
      </c>
      <c r="AR23" t="s">
        <v>74</v>
      </c>
      <c r="AS23" t="s">
        <v>74</v>
      </c>
      <c r="AT23" t="s">
        <v>74</v>
      </c>
      <c r="AU23">
        <v>2025</v>
      </c>
      <c r="AV23" t="s">
        <v>74</v>
      </c>
      <c r="AW23" t="s">
        <v>74</v>
      </c>
      <c r="AX23" t="s">
        <v>74</v>
      </c>
      <c r="AY23" t="s">
        <v>74</v>
      </c>
      <c r="AZ23" t="s">
        <v>74</v>
      </c>
      <c r="BA23" t="s">
        <v>74</v>
      </c>
      <c r="BB23">
        <v>2383</v>
      </c>
      <c r="BC23">
        <v>2386</v>
      </c>
      <c r="BD23" t="s">
        <v>74</v>
      </c>
      <c r="BE23" t="s">
        <v>1054</v>
      </c>
      <c r="BF23" t="str">
        <f>HYPERLINK("http://dx.doi.org/10.1109/IGARSS55030.2025.11243706","http://dx.doi.org/10.1109/IGARSS55030.2025.11243706")</f>
        <v>http://dx.doi.org/10.1109/IGARSS55030.2025.11243706</v>
      </c>
      <c r="BG23" t="s">
        <v>74</v>
      </c>
      <c r="BH23" t="s">
        <v>74</v>
      </c>
      <c r="BI23" t="s">
        <v>74</v>
      </c>
      <c r="BJ23" t="s">
        <v>74</v>
      </c>
      <c r="BK23" t="s">
        <v>74</v>
      </c>
      <c r="BL23" t="s">
        <v>74</v>
      </c>
      <c r="BM23" t="s">
        <v>74</v>
      </c>
      <c r="BN23" t="s">
        <v>74</v>
      </c>
      <c r="BO23" t="s">
        <v>74</v>
      </c>
      <c r="BP23" t="s">
        <v>74</v>
      </c>
      <c r="BQ23" t="s">
        <v>74</v>
      </c>
      <c r="BR23" t="s">
        <v>74</v>
      </c>
      <c r="BS23" t="s">
        <v>1055</v>
      </c>
      <c r="BT23" t="str">
        <f>HYPERLINK("https%3A%2F%2Fwww.webofscience.com%2Fwos%2Fwoscc%2Ffull-record%2FWOS:001697407700502","View Full Record in Web of Science")</f>
        <v>View Full Record in Web of Science</v>
      </c>
    </row>
    <row r="24" spans="1:72" x14ac:dyDescent="0.15">
      <c r="A24" t="s">
        <v>252</v>
      </c>
      <c r="B24" t="s">
        <v>277</v>
      </c>
      <c r="C24" t="s">
        <v>74</v>
      </c>
      <c r="D24" t="s">
        <v>74</v>
      </c>
      <c r="E24" t="s">
        <v>254</v>
      </c>
      <c r="F24" t="s">
        <v>278</v>
      </c>
      <c r="G24" t="s">
        <v>74</v>
      </c>
      <c r="H24" t="s">
        <v>74</v>
      </c>
      <c r="I24" t="s">
        <v>279</v>
      </c>
      <c r="J24" t="s">
        <v>257</v>
      </c>
      <c r="K24" t="s">
        <v>258</v>
      </c>
      <c r="L24" t="s">
        <v>74</v>
      </c>
      <c r="M24" t="s">
        <v>74</v>
      </c>
      <c r="N24" t="s">
        <v>74</v>
      </c>
      <c r="O24" t="s">
        <v>259</v>
      </c>
      <c r="P24" t="s">
        <v>260</v>
      </c>
      <c r="Q24" t="s">
        <v>261</v>
      </c>
      <c r="R24" t="s">
        <v>262</v>
      </c>
      <c r="S24" t="s">
        <v>74</v>
      </c>
      <c r="T24" t="s">
        <v>74</v>
      </c>
      <c r="U24" t="s">
        <v>74</v>
      </c>
      <c r="V24" t="s">
        <v>280</v>
      </c>
      <c r="W24" t="s">
        <v>74</v>
      </c>
      <c r="X24" t="s">
        <v>74</v>
      </c>
      <c r="Y24" t="s">
        <v>74</v>
      </c>
      <c r="Z24" t="s">
        <v>74</v>
      </c>
      <c r="AA24" t="s">
        <v>281</v>
      </c>
      <c r="AB24" t="s">
        <v>74</v>
      </c>
      <c r="AC24" t="s">
        <v>74</v>
      </c>
      <c r="AD24" t="s">
        <v>74</v>
      </c>
      <c r="AE24" t="s">
        <v>74</v>
      </c>
      <c r="AF24" t="s">
        <v>74</v>
      </c>
      <c r="AG24" t="s">
        <v>74</v>
      </c>
      <c r="AH24" t="s">
        <v>74</v>
      </c>
      <c r="AI24" t="s">
        <v>74</v>
      </c>
      <c r="AJ24" t="s">
        <v>74</v>
      </c>
      <c r="AK24" t="s">
        <v>74</v>
      </c>
      <c r="AL24" t="s">
        <v>74</v>
      </c>
      <c r="AM24" t="s">
        <v>74</v>
      </c>
      <c r="AN24" t="s">
        <v>74</v>
      </c>
      <c r="AO24" t="s">
        <v>265</v>
      </c>
      <c r="AP24" t="s">
        <v>74</v>
      </c>
      <c r="AQ24" t="s">
        <v>266</v>
      </c>
      <c r="AR24" t="s">
        <v>74</v>
      </c>
      <c r="AS24" t="s">
        <v>74</v>
      </c>
      <c r="AT24" t="s">
        <v>74</v>
      </c>
      <c r="AU24">
        <v>2025</v>
      </c>
      <c r="AV24" t="s">
        <v>74</v>
      </c>
      <c r="AW24" t="s">
        <v>74</v>
      </c>
      <c r="AX24" t="s">
        <v>74</v>
      </c>
      <c r="AY24" t="s">
        <v>74</v>
      </c>
      <c r="AZ24" t="s">
        <v>74</v>
      </c>
      <c r="BA24" t="s">
        <v>74</v>
      </c>
      <c r="BB24">
        <v>2366</v>
      </c>
      <c r="BC24">
        <v>2370</v>
      </c>
      <c r="BD24" t="s">
        <v>74</v>
      </c>
      <c r="BE24" t="s">
        <v>282</v>
      </c>
      <c r="BF24" t="str">
        <f>HYPERLINK("http://dx.doi.org/10.1109/IGARSS55030.2025.11243237","http://dx.doi.org/10.1109/IGARSS55030.2025.11243237")</f>
        <v>http://dx.doi.org/10.1109/IGARSS55030.2025.11243237</v>
      </c>
      <c r="BG24" t="s">
        <v>74</v>
      </c>
      <c r="BH24" t="s">
        <v>74</v>
      </c>
      <c r="BI24" t="s">
        <v>74</v>
      </c>
      <c r="BJ24" t="s">
        <v>74</v>
      </c>
      <c r="BK24" t="s">
        <v>74</v>
      </c>
      <c r="BL24" t="s">
        <v>74</v>
      </c>
      <c r="BM24" t="s">
        <v>74</v>
      </c>
      <c r="BN24" t="s">
        <v>74</v>
      </c>
      <c r="BO24" t="s">
        <v>74</v>
      </c>
      <c r="BP24" t="s">
        <v>74</v>
      </c>
      <c r="BQ24" t="s">
        <v>74</v>
      </c>
      <c r="BR24" t="s">
        <v>74</v>
      </c>
      <c r="BS24" t="s">
        <v>283</v>
      </c>
      <c r="BT24" t="str">
        <f>HYPERLINK("https%3A%2F%2Fwww.webofscience.com%2Fwos%2Fwoscc%2Ffull-record%2FWOS:001697407700498","View Full Record in Web of Science")</f>
        <v>View Full Record in Web of Science</v>
      </c>
    </row>
    <row r="25" spans="1:72" x14ac:dyDescent="0.15">
      <c r="A25" t="s">
        <v>72</v>
      </c>
      <c r="B25" t="s">
        <v>303</v>
      </c>
      <c r="C25" t="s">
        <v>74</v>
      </c>
      <c r="D25" t="s">
        <v>74</v>
      </c>
      <c r="E25" t="s">
        <v>74</v>
      </c>
      <c r="F25" t="s">
        <v>304</v>
      </c>
      <c r="G25" t="s">
        <v>74</v>
      </c>
      <c r="H25" t="s">
        <v>74</v>
      </c>
      <c r="I25" t="s">
        <v>305</v>
      </c>
      <c r="J25" t="s">
        <v>306</v>
      </c>
      <c r="K25" t="s">
        <v>74</v>
      </c>
      <c r="L25" t="s">
        <v>74</v>
      </c>
      <c r="M25" t="s">
        <v>74</v>
      </c>
      <c r="N25" t="s">
        <v>74</v>
      </c>
      <c r="O25" t="s">
        <v>74</v>
      </c>
      <c r="P25" t="s">
        <v>74</v>
      </c>
      <c r="Q25" t="s">
        <v>74</v>
      </c>
      <c r="R25" t="s">
        <v>74</v>
      </c>
      <c r="S25" t="s">
        <v>74</v>
      </c>
      <c r="T25" t="s">
        <v>74</v>
      </c>
      <c r="U25" t="s">
        <v>74</v>
      </c>
      <c r="V25" t="s">
        <v>307</v>
      </c>
      <c r="W25" t="s">
        <v>74</v>
      </c>
      <c r="X25" t="s">
        <v>74</v>
      </c>
      <c r="Y25" t="s">
        <v>74</v>
      </c>
      <c r="Z25" t="s">
        <v>74</v>
      </c>
      <c r="AA25" t="s">
        <v>308</v>
      </c>
      <c r="AB25" t="s">
        <v>309</v>
      </c>
      <c r="AC25" t="s">
        <v>74</v>
      </c>
      <c r="AD25" t="s">
        <v>74</v>
      </c>
      <c r="AE25" t="s">
        <v>74</v>
      </c>
      <c r="AF25" t="s">
        <v>74</v>
      </c>
      <c r="AG25" t="s">
        <v>74</v>
      </c>
      <c r="AH25" t="s">
        <v>74</v>
      </c>
      <c r="AI25" t="s">
        <v>74</v>
      </c>
      <c r="AJ25" t="s">
        <v>74</v>
      </c>
      <c r="AK25" t="s">
        <v>74</v>
      </c>
      <c r="AL25" t="s">
        <v>74</v>
      </c>
      <c r="AM25" t="s">
        <v>74</v>
      </c>
      <c r="AN25" t="s">
        <v>74</v>
      </c>
      <c r="AO25" t="s">
        <v>74</v>
      </c>
      <c r="AP25" t="s">
        <v>310</v>
      </c>
      <c r="AQ25" t="s">
        <v>74</v>
      </c>
      <c r="AR25" t="s">
        <v>74</v>
      </c>
      <c r="AS25" t="s">
        <v>74</v>
      </c>
      <c r="AT25" t="s">
        <v>311</v>
      </c>
      <c r="AU25">
        <v>2025</v>
      </c>
      <c r="AV25">
        <v>57</v>
      </c>
      <c r="AW25" t="s">
        <v>74</v>
      </c>
      <c r="AX25" t="s">
        <v>74</v>
      </c>
      <c r="AY25" t="s">
        <v>74</v>
      </c>
      <c r="AZ25" t="s">
        <v>74</v>
      </c>
      <c r="BA25" t="s">
        <v>74</v>
      </c>
      <c r="BB25" t="s">
        <v>74</v>
      </c>
      <c r="BC25" t="s">
        <v>74</v>
      </c>
      <c r="BD25">
        <v>102085</v>
      </c>
      <c r="BE25" t="s">
        <v>312</v>
      </c>
      <c r="BF25" t="str">
        <f>HYPERLINK("http://dx.doi.org/10.1016/j.ejrh.2024.102085","http://dx.doi.org/10.1016/j.ejrh.2024.102085")</f>
        <v>http://dx.doi.org/10.1016/j.ejrh.2024.102085</v>
      </c>
      <c r="BG25" t="s">
        <v>74</v>
      </c>
      <c r="BH25" t="s">
        <v>313</v>
      </c>
      <c r="BI25" t="s">
        <v>74</v>
      </c>
      <c r="BJ25" t="s">
        <v>74</v>
      </c>
      <c r="BK25" t="s">
        <v>74</v>
      </c>
      <c r="BL25" t="s">
        <v>74</v>
      </c>
      <c r="BM25" t="s">
        <v>74</v>
      </c>
      <c r="BN25" t="s">
        <v>74</v>
      </c>
      <c r="BO25" t="s">
        <v>74</v>
      </c>
      <c r="BP25" t="s">
        <v>74</v>
      </c>
      <c r="BQ25" t="s">
        <v>74</v>
      </c>
      <c r="BR25" t="s">
        <v>74</v>
      </c>
      <c r="BS25" t="s">
        <v>314</v>
      </c>
      <c r="BT25" t="str">
        <f>HYPERLINK("https%3A%2F%2Fwww.webofscience.com%2Fwos%2Fwoscc%2Ffull-record%2FWOS:001381927800001","View Full Record in Web of Science")</f>
        <v>View Full Record in Web of Science</v>
      </c>
    </row>
    <row r="26" spans="1:72" x14ac:dyDescent="0.15">
      <c r="A26" t="s">
        <v>72</v>
      </c>
      <c r="B26" t="s">
        <v>1056</v>
      </c>
      <c r="C26" t="s">
        <v>74</v>
      </c>
      <c r="D26" t="s">
        <v>74</v>
      </c>
      <c r="E26" t="s">
        <v>74</v>
      </c>
      <c r="F26" t="s">
        <v>1057</v>
      </c>
      <c r="G26" t="s">
        <v>74</v>
      </c>
      <c r="H26" t="s">
        <v>74</v>
      </c>
      <c r="I26" t="s">
        <v>1058</v>
      </c>
      <c r="J26" t="s">
        <v>1059</v>
      </c>
      <c r="K26" t="s">
        <v>74</v>
      </c>
      <c r="L26" t="s">
        <v>74</v>
      </c>
      <c r="M26" t="s">
        <v>74</v>
      </c>
      <c r="N26" t="s">
        <v>74</v>
      </c>
      <c r="O26" t="s">
        <v>74</v>
      </c>
      <c r="P26" t="s">
        <v>74</v>
      </c>
      <c r="Q26" t="s">
        <v>74</v>
      </c>
      <c r="R26" t="s">
        <v>74</v>
      </c>
      <c r="S26" t="s">
        <v>74</v>
      </c>
      <c r="T26" t="s">
        <v>74</v>
      </c>
      <c r="U26" t="s">
        <v>74</v>
      </c>
      <c r="V26" t="s">
        <v>1060</v>
      </c>
      <c r="W26" t="s">
        <v>74</v>
      </c>
      <c r="X26" t="s">
        <v>74</v>
      </c>
      <c r="Y26" t="s">
        <v>74</v>
      </c>
      <c r="Z26" t="s">
        <v>74</v>
      </c>
      <c r="AA26" t="s">
        <v>1061</v>
      </c>
      <c r="AB26" t="s">
        <v>1062</v>
      </c>
      <c r="AC26" t="s">
        <v>74</v>
      </c>
      <c r="AD26" t="s">
        <v>74</v>
      </c>
      <c r="AE26" t="s">
        <v>74</v>
      </c>
      <c r="AF26" t="s">
        <v>74</v>
      </c>
      <c r="AG26" t="s">
        <v>74</v>
      </c>
      <c r="AH26" t="s">
        <v>74</v>
      </c>
      <c r="AI26" t="s">
        <v>74</v>
      </c>
      <c r="AJ26" t="s">
        <v>74</v>
      </c>
      <c r="AK26" t="s">
        <v>74</v>
      </c>
      <c r="AL26" t="s">
        <v>74</v>
      </c>
      <c r="AM26" t="s">
        <v>74</v>
      </c>
      <c r="AN26" t="s">
        <v>74</v>
      </c>
      <c r="AO26" t="s">
        <v>1063</v>
      </c>
      <c r="AP26" t="s">
        <v>1064</v>
      </c>
      <c r="AQ26" t="s">
        <v>74</v>
      </c>
      <c r="AR26" t="s">
        <v>74</v>
      </c>
      <c r="AS26" t="s">
        <v>74</v>
      </c>
      <c r="AT26" t="s">
        <v>1065</v>
      </c>
      <c r="AU26">
        <v>2024</v>
      </c>
      <c r="AV26">
        <v>60</v>
      </c>
      <c r="AW26">
        <v>11</v>
      </c>
      <c r="AX26" t="s">
        <v>74</v>
      </c>
      <c r="AY26" t="s">
        <v>74</v>
      </c>
      <c r="AZ26" t="s">
        <v>74</v>
      </c>
      <c r="BA26" t="s">
        <v>74</v>
      </c>
      <c r="BB26" t="s">
        <v>74</v>
      </c>
      <c r="BC26" t="s">
        <v>74</v>
      </c>
      <c r="BD26" t="s">
        <v>1066</v>
      </c>
      <c r="BE26" t="s">
        <v>1067</v>
      </c>
      <c r="BF26" t="str">
        <f>HYPERLINK("http://dx.doi.org/10.1029/2023WR036162","http://dx.doi.org/10.1029/2023WR036162")</f>
        <v>http://dx.doi.org/10.1029/2023WR036162</v>
      </c>
      <c r="BG26" t="s">
        <v>74</v>
      </c>
      <c r="BH26" t="s">
        <v>74</v>
      </c>
      <c r="BI26" t="s">
        <v>74</v>
      </c>
      <c r="BJ26" t="s">
        <v>74</v>
      </c>
      <c r="BK26" t="s">
        <v>74</v>
      </c>
      <c r="BL26" t="s">
        <v>74</v>
      </c>
      <c r="BM26" t="s">
        <v>74</v>
      </c>
      <c r="BN26" t="s">
        <v>74</v>
      </c>
      <c r="BO26" t="s">
        <v>74</v>
      </c>
      <c r="BP26" t="s">
        <v>74</v>
      </c>
      <c r="BQ26" t="s">
        <v>74</v>
      </c>
      <c r="BR26" t="s">
        <v>74</v>
      </c>
      <c r="BS26" t="s">
        <v>1068</v>
      </c>
      <c r="BT26" t="str">
        <f>HYPERLINK("https%3A%2F%2Fwww.webofscience.com%2Fwos%2Fwoscc%2Ffull-record%2FWOS:001368793200001","View Full Record in Web of Science")</f>
        <v>View Full Record in Web of Science</v>
      </c>
    </row>
    <row r="27" spans="1:72" x14ac:dyDescent="0.15">
      <c r="A27" t="s">
        <v>72</v>
      </c>
      <c r="B27" t="s">
        <v>1069</v>
      </c>
      <c r="C27" t="s">
        <v>74</v>
      </c>
      <c r="D27" t="s">
        <v>74</v>
      </c>
      <c r="E27" t="s">
        <v>74</v>
      </c>
      <c r="F27" t="s">
        <v>1070</v>
      </c>
      <c r="G27" t="s">
        <v>74</v>
      </c>
      <c r="H27" t="s">
        <v>74</v>
      </c>
      <c r="I27" t="s">
        <v>1071</v>
      </c>
      <c r="J27" t="s">
        <v>147</v>
      </c>
      <c r="K27" t="s">
        <v>74</v>
      </c>
      <c r="L27" t="s">
        <v>74</v>
      </c>
      <c r="M27" t="s">
        <v>74</v>
      </c>
      <c r="N27" t="s">
        <v>74</v>
      </c>
      <c r="O27" t="s">
        <v>74</v>
      </c>
      <c r="P27" t="s">
        <v>74</v>
      </c>
      <c r="Q27" t="s">
        <v>74</v>
      </c>
      <c r="R27" t="s">
        <v>74</v>
      </c>
      <c r="S27" t="s">
        <v>74</v>
      </c>
      <c r="T27" t="s">
        <v>74</v>
      </c>
      <c r="U27" t="s">
        <v>74</v>
      </c>
      <c r="V27" t="s">
        <v>1072</v>
      </c>
      <c r="W27" t="s">
        <v>74</v>
      </c>
      <c r="X27" t="s">
        <v>74</v>
      </c>
      <c r="Y27" t="s">
        <v>74</v>
      </c>
      <c r="Z27" t="s">
        <v>74</v>
      </c>
      <c r="AA27" t="s">
        <v>1073</v>
      </c>
      <c r="AB27" t="s">
        <v>1074</v>
      </c>
      <c r="AC27" t="s">
        <v>74</v>
      </c>
      <c r="AD27" t="s">
        <v>74</v>
      </c>
      <c r="AE27" t="s">
        <v>74</v>
      </c>
      <c r="AF27" t="s">
        <v>74</v>
      </c>
      <c r="AG27" t="s">
        <v>74</v>
      </c>
      <c r="AH27" t="s">
        <v>74</v>
      </c>
      <c r="AI27" t="s">
        <v>74</v>
      </c>
      <c r="AJ27" t="s">
        <v>74</v>
      </c>
      <c r="AK27" t="s">
        <v>74</v>
      </c>
      <c r="AL27" t="s">
        <v>74</v>
      </c>
      <c r="AM27" t="s">
        <v>74</v>
      </c>
      <c r="AN27" t="s">
        <v>74</v>
      </c>
      <c r="AO27" t="s">
        <v>74</v>
      </c>
      <c r="AP27" t="s">
        <v>151</v>
      </c>
      <c r="AQ27" t="s">
        <v>74</v>
      </c>
      <c r="AR27" t="s">
        <v>74</v>
      </c>
      <c r="AS27" t="s">
        <v>74</v>
      </c>
      <c r="AT27" t="s">
        <v>464</v>
      </c>
      <c r="AU27">
        <v>2024</v>
      </c>
      <c r="AV27">
        <v>16</v>
      </c>
      <c r="AW27">
        <v>19</v>
      </c>
      <c r="AX27" t="s">
        <v>74</v>
      </c>
      <c r="AY27" t="s">
        <v>74</v>
      </c>
      <c r="AZ27" t="s">
        <v>74</v>
      </c>
      <c r="BA27" t="s">
        <v>74</v>
      </c>
      <c r="BB27" t="s">
        <v>74</v>
      </c>
      <c r="BC27" t="s">
        <v>74</v>
      </c>
      <c r="BD27">
        <v>3575</v>
      </c>
      <c r="BE27" t="s">
        <v>1075</v>
      </c>
      <c r="BF27" t="str">
        <f>HYPERLINK("http://dx.doi.org/10.3390/rs16193575","http://dx.doi.org/10.3390/rs16193575")</f>
        <v>http://dx.doi.org/10.3390/rs16193575</v>
      </c>
      <c r="BG27" t="s">
        <v>74</v>
      </c>
      <c r="BH27" t="s">
        <v>74</v>
      </c>
      <c r="BI27" t="s">
        <v>74</v>
      </c>
      <c r="BJ27" t="s">
        <v>74</v>
      </c>
      <c r="BK27" t="s">
        <v>74</v>
      </c>
      <c r="BL27" t="s">
        <v>74</v>
      </c>
      <c r="BM27" t="s">
        <v>74</v>
      </c>
      <c r="BN27" t="s">
        <v>74</v>
      </c>
      <c r="BO27" t="s">
        <v>74</v>
      </c>
      <c r="BP27" t="s">
        <v>74</v>
      </c>
      <c r="BQ27" t="s">
        <v>74</v>
      </c>
      <c r="BR27" t="s">
        <v>74</v>
      </c>
      <c r="BS27" t="s">
        <v>1076</v>
      </c>
      <c r="BT27" t="str">
        <f>HYPERLINK("https%3A%2F%2Fwww.webofscience.com%2Fwos%2Fwoscc%2Ffull-record%2FWOS:001332842400001","View Full Record in Web of Science")</f>
        <v>View Full Record in Web of Science</v>
      </c>
    </row>
    <row r="28" spans="1:72" x14ac:dyDescent="0.15">
      <c r="A28" t="s">
        <v>72</v>
      </c>
      <c r="B28" t="s">
        <v>1077</v>
      </c>
      <c r="C28" t="s">
        <v>74</v>
      </c>
      <c r="D28" t="s">
        <v>74</v>
      </c>
      <c r="E28" t="s">
        <v>74</v>
      </c>
      <c r="F28" t="s">
        <v>1078</v>
      </c>
      <c r="G28" t="s">
        <v>74</v>
      </c>
      <c r="H28" t="s">
        <v>74</v>
      </c>
      <c r="I28" t="s">
        <v>1079</v>
      </c>
      <c r="J28" t="s">
        <v>77</v>
      </c>
      <c r="K28" t="s">
        <v>74</v>
      </c>
      <c r="L28" t="s">
        <v>74</v>
      </c>
      <c r="M28" t="s">
        <v>74</v>
      </c>
      <c r="N28" t="s">
        <v>74</v>
      </c>
      <c r="O28" t="s">
        <v>74</v>
      </c>
      <c r="P28" t="s">
        <v>74</v>
      </c>
      <c r="Q28" t="s">
        <v>74</v>
      </c>
      <c r="R28" t="s">
        <v>74</v>
      </c>
      <c r="S28" t="s">
        <v>74</v>
      </c>
      <c r="T28" t="s">
        <v>74</v>
      </c>
      <c r="U28" t="s">
        <v>74</v>
      </c>
      <c r="V28" t="s">
        <v>1080</v>
      </c>
      <c r="W28" t="s">
        <v>74</v>
      </c>
      <c r="X28" t="s">
        <v>74</v>
      </c>
      <c r="Y28" t="s">
        <v>74</v>
      </c>
      <c r="Z28" t="s">
        <v>74</v>
      </c>
      <c r="AA28" t="s">
        <v>1081</v>
      </c>
      <c r="AB28" t="s">
        <v>1082</v>
      </c>
      <c r="AC28" t="s">
        <v>74</v>
      </c>
      <c r="AD28" t="s">
        <v>74</v>
      </c>
      <c r="AE28" t="s">
        <v>74</v>
      </c>
      <c r="AF28" t="s">
        <v>74</v>
      </c>
      <c r="AG28" t="s">
        <v>74</v>
      </c>
      <c r="AH28" t="s">
        <v>74</v>
      </c>
      <c r="AI28" t="s">
        <v>74</v>
      </c>
      <c r="AJ28" t="s">
        <v>74</v>
      </c>
      <c r="AK28" t="s">
        <v>74</v>
      </c>
      <c r="AL28" t="s">
        <v>74</v>
      </c>
      <c r="AM28" t="s">
        <v>74</v>
      </c>
      <c r="AN28" t="s">
        <v>74</v>
      </c>
      <c r="AO28" t="s">
        <v>79</v>
      </c>
      <c r="AP28" t="s">
        <v>80</v>
      </c>
      <c r="AQ28" t="s">
        <v>74</v>
      </c>
      <c r="AR28" t="s">
        <v>74</v>
      </c>
      <c r="AS28" t="s">
        <v>74</v>
      </c>
      <c r="AT28" t="s">
        <v>1083</v>
      </c>
      <c r="AU28">
        <v>2024</v>
      </c>
      <c r="AV28">
        <v>18</v>
      </c>
      <c r="AW28">
        <v>8</v>
      </c>
      <c r="AX28" t="s">
        <v>74</v>
      </c>
      <c r="AY28" t="s">
        <v>74</v>
      </c>
      <c r="AZ28" t="s">
        <v>74</v>
      </c>
      <c r="BA28" t="s">
        <v>74</v>
      </c>
      <c r="BB28">
        <v>3857</v>
      </c>
      <c r="BC28">
        <v>3874</v>
      </c>
      <c r="BD28" t="s">
        <v>74</v>
      </c>
      <c r="BE28" t="s">
        <v>1084</v>
      </c>
      <c r="BF28" t="str">
        <f>HYPERLINK("http://dx.doi.org/10.5194/tc-18-3857-2024","http://dx.doi.org/10.5194/tc-18-3857-2024")</f>
        <v>http://dx.doi.org/10.5194/tc-18-3857-2024</v>
      </c>
      <c r="BG28" t="s">
        <v>74</v>
      </c>
      <c r="BH28" t="s">
        <v>74</v>
      </c>
      <c r="BI28" t="s">
        <v>74</v>
      </c>
      <c r="BJ28" t="s">
        <v>74</v>
      </c>
      <c r="BK28" t="s">
        <v>74</v>
      </c>
      <c r="BL28" t="s">
        <v>74</v>
      </c>
      <c r="BM28" t="s">
        <v>74</v>
      </c>
      <c r="BN28" t="s">
        <v>74</v>
      </c>
      <c r="BO28" t="s">
        <v>74</v>
      </c>
      <c r="BP28" t="s">
        <v>74</v>
      </c>
      <c r="BQ28" t="s">
        <v>74</v>
      </c>
      <c r="BR28" t="s">
        <v>74</v>
      </c>
      <c r="BS28" t="s">
        <v>1085</v>
      </c>
      <c r="BT28" t="str">
        <f>HYPERLINK("https%3A%2F%2Fwww.webofscience.com%2Fwos%2Fwoscc%2Ffull-record%2FWOS:001298884500001","View Full Record in Web of Science")</f>
        <v>View Full Record in Web of Science</v>
      </c>
    </row>
    <row r="29" spans="1:72" x14ac:dyDescent="0.15">
      <c r="A29" t="s">
        <v>72</v>
      </c>
      <c r="B29" t="s">
        <v>324</v>
      </c>
      <c r="C29" t="s">
        <v>74</v>
      </c>
      <c r="D29" t="s">
        <v>74</v>
      </c>
      <c r="E29" t="s">
        <v>74</v>
      </c>
      <c r="F29" t="s">
        <v>325</v>
      </c>
      <c r="G29" t="s">
        <v>74</v>
      </c>
      <c r="H29" t="s">
        <v>74</v>
      </c>
      <c r="I29" t="s">
        <v>326</v>
      </c>
      <c r="J29" t="s">
        <v>122</v>
      </c>
      <c r="K29" t="s">
        <v>74</v>
      </c>
      <c r="L29" t="s">
        <v>74</v>
      </c>
      <c r="M29" t="s">
        <v>74</v>
      </c>
      <c r="N29" t="s">
        <v>74</v>
      </c>
      <c r="O29" t="s">
        <v>74</v>
      </c>
      <c r="P29" t="s">
        <v>74</v>
      </c>
      <c r="Q29" t="s">
        <v>74</v>
      </c>
      <c r="R29" t="s">
        <v>74</v>
      </c>
      <c r="S29" t="s">
        <v>74</v>
      </c>
      <c r="T29" t="s">
        <v>74</v>
      </c>
      <c r="U29" t="s">
        <v>74</v>
      </c>
      <c r="V29" t="s">
        <v>327</v>
      </c>
      <c r="W29" t="s">
        <v>74</v>
      </c>
      <c r="X29" t="s">
        <v>74</v>
      </c>
      <c r="Y29" t="s">
        <v>74</v>
      </c>
      <c r="Z29" t="s">
        <v>74</v>
      </c>
      <c r="AA29" t="s">
        <v>328</v>
      </c>
      <c r="AB29" t="s">
        <v>329</v>
      </c>
      <c r="AC29" t="s">
        <v>74</v>
      </c>
      <c r="AD29" t="s">
        <v>74</v>
      </c>
      <c r="AE29" t="s">
        <v>74</v>
      </c>
      <c r="AF29" t="s">
        <v>74</v>
      </c>
      <c r="AG29" t="s">
        <v>74</v>
      </c>
      <c r="AH29" t="s">
        <v>74</v>
      </c>
      <c r="AI29" t="s">
        <v>74</v>
      </c>
      <c r="AJ29" t="s">
        <v>74</v>
      </c>
      <c r="AK29" t="s">
        <v>74</v>
      </c>
      <c r="AL29" t="s">
        <v>74</v>
      </c>
      <c r="AM29" t="s">
        <v>74</v>
      </c>
      <c r="AN29" t="s">
        <v>74</v>
      </c>
      <c r="AO29" t="s">
        <v>126</v>
      </c>
      <c r="AP29" t="s">
        <v>127</v>
      </c>
      <c r="AQ29" t="s">
        <v>74</v>
      </c>
      <c r="AR29" t="s">
        <v>74</v>
      </c>
      <c r="AS29" t="s">
        <v>74</v>
      </c>
      <c r="AT29" t="s">
        <v>128</v>
      </c>
      <c r="AU29">
        <v>2024</v>
      </c>
      <c r="AV29">
        <v>314</v>
      </c>
      <c r="AW29" t="s">
        <v>74</v>
      </c>
      <c r="AX29" t="s">
        <v>74</v>
      </c>
      <c r="AY29" t="s">
        <v>74</v>
      </c>
      <c r="AZ29" t="s">
        <v>74</v>
      </c>
      <c r="BA29" t="s">
        <v>74</v>
      </c>
      <c r="BB29" t="s">
        <v>74</v>
      </c>
      <c r="BC29" t="s">
        <v>74</v>
      </c>
      <c r="BD29">
        <v>114369</v>
      </c>
      <c r="BE29" t="s">
        <v>330</v>
      </c>
      <c r="BF29" t="str">
        <f>HYPERLINK("http://dx.doi.org/10.1016/j.rse.2024.114369","http://dx.doi.org/10.1016/j.rse.2024.114369")</f>
        <v>http://dx.doi.org/10.1016/j.rse.2024.114369</v>
      </c>
      <c r="BG29" t="s">
        <v>74</v>
      </c>
      <c r="BH29" t="s">
        <v>331</v>
      </c>
      <c r="BI29" t="s">
        <v>74</v>
      </c>
      <c r="BJ29" t="s">
        <v>74</v>
      </c>
      <c r="BK29" t="s">
        <v>74</v>
      </c>
      <c r="BL29" t="s">
        <v>74</v>
      </c>
      <c r="BM29" t="s">
        <v>74</v>
      </c>
      <c r="BN29" t="s">
        <v>74</v>
      </c>
      <c r="BO29" t="s">
        <v>74</v>
      </c>
      <c r="BP29" t="s">
        <v>74</v>
      </c>
      <c r="BQ29" t="s">
        <v>74</v>
      </c>
      <c r="BR29" t="s">
        <v>74</v>
      </c>
      <c r="BS29" t="s">
        <v>332</v>
      </c>
      <c r="BT29" t="str">
        <f>HYPERLINK("https%3A%2F%2Fwww.webofscience.com%2Fwos%2Fwoscc%2Ffull-record%2FWOS:001302838100001","View Full Record in Web of Science")</f>
        <v>View Full Record in Web of Science</v>
      </c>
    </row>
    <row r="30" spans="1:72" x14ac:dyDescent="0.15">
      <c r="A30" t="s">
        <v>72</v>
      </c>
      <c r="B30" t="s">
        <v>1086</v>
      </c>
      <c r="C30" t="s">
        <v>74</v>
      </c>
      <c r="D30" t="s">
        <v>74</v>
      </c>
      <c r="E30" t="s">
        <v>74</v>
      </c>
      <c r="F30" t="s">
        <v>1087</v>
      </c>
      <c r="G30" t="s">
        <v>74</v>
      </c>
      <c r="H30" t="s">
        <v>74</v>
      </c>
      <c r="I30" t="s">
        <v>1088</v>
      </c>
      <c r="J30" t="s">
        <v>1059</v>
      </c>
      <c r="K30" t="s">
        <v>74</v>
      </c>
      <c r="L30" t="s">
        <v>74</v>
      </c>
      <c r="M30" t="s">
        <v>74</v>
      </c>
      <c r="N30" t="s">
        <v>74</v>
      </c>
      <c r="O30" t="s">
        <v>74</v>
      </c>
      <c r="P30" t="s">
        <v>74</v>
      </c>
      <c r="Q30" t="s">
        <v>74</v>
      </c>
      <c r="R30" t="s">
        <v>74</v>
      </c>
      <c r="S30" t="s">
        <v>74</v>
      </c>
      <c r="T30" t="s">
        <v>74</v>
      </c>
      <c r="U30" t="s">
        <v>74</v>
      </c>
      <c r="V30" t="s">
        <v>1089</v>
      </c>
      <c r="W30" t="s">
        <v>74</v>
      </c>
      <c r="X30" t="s">
        <v>74</v>
      </c>
      <c r="Y30" t="s">
        <v>74</v>
      </c>
      <c r="Z30" t="s">
        <v>74</v>
      </c>
      <c r="AA30" t="s">
        <v>1090</v>
      </c>
      <c r="AB30" t="s">
        <v>1091</v>
      </c>
      <c r="AC30" t="s">
        <v>74</v>
      </c>
      <c r="AD30" t="s">
        <v>74</v>
      </c>
      <c r="AE30" t="s">
        <v>74</v>
      </c>
      <c r="AF30" t="s">
        <v>74</v>
      </c>
      <c r="AG30" t="s">
        <v>74</v>
      </c>
      <c r="AH30" t="s">
        <v>74</v>
      </c>
      <c r="AI30" t="s">
        <v>74</v>
      </c>
      <c r="AJ30" t="s">
        <v>74</v>
      </c>
      <c r="AK30" t="s">
        <v>74</v>
      </c>
      <c r="AL30" t="s">
        <v>74</v>
      </c>
      <c r="AM30" t="s">
        <v>74</v>
      </c>
      <c r="AN30" t="s">
        <v>74</v>
      </c>
      <c r="AO30" t="s">
        <v>1063</v>
      </c>
      <c r="AP30" t="s">
        <v>1064</v>
      </c>
      <c r="AQ30" t="s">
        <v>74</v>
      </c>
      <c r="AR30" t="s">
        <v>74</v>
      </c>
      <c r="AS30" t="s">
        <v>74</v>
      </c>
      <c r="AT30" t="s">
        <v>141</v>
      </c>
      <c r="AU30">
        <v>2024</v>
      </c>
      <c r="AV30">
        <v>60</v>
      </c>
      <c r="AW30">
        <v>7</v>
      </c>
      <c r="AX30" t="s">
        <v>74</v>
      </c>
      <c r="AY30" t="s">
        <v>74</v>
      </c>
      <c r="AZ30" t="s">
        <v>74</v>
      </c>
      <c r="BA30" t="s">
        <v>74</v>
      </c>
      <c r="BB30" t="s">
        <v>74</v>
      </c>
      <c r="BC30" t="s">
        <v>74</v>
      </c>
      <c r="BD30" t="s">
        <v>1092</v>
      </c>
      <c r="BE30" t="s">
        <v>1093</v>
      </c>
      <c r="BF30" t="str">
        <f>HYPERLINK("http://dx.doi.org/10.1029/2023WR036942","http://dx.doi.org/10.1029/2023WR036942")</f>
        <v>http://dx.doi.org/10.1029/2023WR036942</v>
      </c>
      <c r="BG30" t="s">
        <v>74</v>
      </c>
      <c r="BH30" t="s">
        <v>74</v>
      </c>
      <c r="BI30" t="s">
        <v>74</v>
      </c>
      <c r="BJ30" t="s">
        <v>74</v>
      </c>
      <c r="BK30" t="s">
        <v>74</v>
      </c>
      <c r="BL30" t="s">
        <v>74</v>
      </c>
      <c r="BM30" t="s">
        <v>74</v>
      </c>
      <c r="BN30" t="s">
        <v>74</v>
      </c>
      <c r="BO30" t="s">
        <v>74</v>
      </c>
      <c r="BP30" t="s">
        <v>74</v>
      </c>
      <c r="BQ30" t="s">
        <v>74</v>
      </c>
      <c r="BR30" t="s">
        <v>74</v>
      </c>
      <c r="BS30" t="s">
        <v>1094</v>
      </c>
      <c r="BT30" t="str">
        <f>HYPERLINK("https%3A%2F%2Fwww.webofscience.com%2Fwos%2Fwoscc%2Ffull-record%2FWOS:001277996800001","View Full Record in Web of Science")</f>
        <v>View Full Record in Web of Science</v>
      </c>
    </row>
    <row r="31" spans="1:72" x14ac:dyDescent="0.15">
      <c r="A31" t="s">
        <v>72</v>
      </c>
      <c r="B31" t="s">
        <v>1095</v>
      </c>
      <c r="C31" t="s">
        <v>74</v>
      </c>
      <c r="D31" t="s">
        <v>74</v>
      </c>
      <c r="E31" t="s">
        <v>74</v>
      </c>
      <c r="F31" t="s">
        <v>1096</v>
      </c>
      <c r="G31" t="s">
        <v>74</v>
      </c>
      <c r="H31" t="s">
        <v>74</v>
      </c>
      <c r="I31" t="s">
        <v>1097</v>
      </c>
      <c r="J31" t="s">
        <v>158</v>
      </c>
      <c r="K31" t="s">
        <v>74</v>
      </c>
      <c r="L31" t="s">
        <v>74</v>
      </c>
      <c r="M31" t="s">
        <v>74</v>
      </c>
      <c r="N31" t="s">
        <v>74</v>
      </c>
      <c r="O31" t="s">
        <v>74</v>
      </c>
      <c r="P31" t="s">
        <v>74</v>
      </c>
      <c r="Q31" t="s">
        <v>74</v>
      </c>
      <c r="R31" t="s">
        <v>74</v>
      </c>
      <c r="S31" t="s">
        <v>74</v>
      </c>
      <c r="T31" t="s">
        <v>74</v>
      </c>
      <c r="U31" t="s">
        <v>74</v>
      </c>
      <c r="V31" t="s">
        <v>1098</v>
      </c>
      <c r="W31" t="s">
        <v>74</v>
      </c>
      <c r="X31" t="s">
        <v>74</v>
      </c>
      <c r="Y31" t="s">
        <v>74</v>
      </c>
      <c r="Z31" t="s">
        <v>74</v>
      </c>
      <c r="AA31" t="s">
        <v>1099</v>
      </c>
      <c r="AB31" t="s">
        <v>1100</v>
      </c>
      <c r="AC31" t="s">
        <v>74</v>
      </c>
      <c r="AD31" t="s">
        <v>74</v>
      </c>
      <c r="AE31" t="s">
        <v>74</v>
      </c>
      <c r="AF31" t="s">
        <v>74</v>
      </c>
      <c r="AG31" t="s">
        <v>74</v>
      </c>
      <c r="AH31" t="s">
        <v>74</v>
      </c>
      <c r="AI31" t="s">
        <v>74</v>
      </c>
      <c r="AJ31" t="s">
        <v>74</v>
      </c>
      <c r="AK31" t="s">
        <v>74</v>
      </c>
      <c r="AL31" t="s">
        <v>74</v>
      </c>
      <c r="AM31" t="s">
        <v>74</v>
      </c>
      <c r="AN31" t="s">
        <v>74</v>
      </c>
      <c r="AO31" t="s">
        <v>161</v>
      </c>
      <c r="AP31" t="s">
        <v>162</v>
      </c>
      <c r="AQ31" t="s">
        <v>74</v>
      </c>
      <c r="AR31" t="s">
        <v>74</v>
      </c>
      <c r="AS31" t="s">
        <v>74</v>
      </c>
      <c r="AT31" t="s">
        <v>208</v>
      </c>
      <c r="AU31">
        <v>2024</v>
      </c>
      <c r="AV31">
        <v>638</v>
      </c>
      <c r="AW31" t="s">
        <v>74</v>
      </c>
      <c r="AX31" t="s">
        <v>74</v>
      </c>
      <c r="AY31" t="s">
        <v>74</v>
      </c>
      <c r="AZ31" t="s">
        <v>74</v>
      </c>
      <c r="BA31" t="s">
        <v>74</v>
      </c>
      <c r="BB31" t="s">
        <v>74</v>
      </c>
      <c r="BC31" t="s">
        <v>74</v>
      </c>
      <c r="BD31">
        <v>131579</v>
      </c>
      <c r="BE31" t="s">
        <v>1101</v>
      </c>
      <c r="BF31" t="str">
        <f>HYPERLINK("http://dx.doi.org/10.1016/j.jhydrol.2024.131579","http://dx.doi.org/10.1016/j.jhydrol.2024.131579")</f>
        <v>http://dx.doi.org/10.1016/j.jhydrol.2024.131579</v>
      </c>
      <c r="BG31" t="s">
        <v>74</v>
      </c>
      <c r="BH31" t="s">
        <v>1102</v>
      </c>
      <c r="BI31" t="s">
        <v>74</v>
      </c>
      <c r="BJ31" t="s">
        <v>74</v>
      </c>
      <c r="BK31" t="s">
        <v>74</v>
      </c>
      <c r="BL31" t="s">
        <v>74</v>
      </c>
      <c r="BM31" t="s">
        <v>74</v>
      </c>
      <c r="BN31" t="s">
        <v>74</v>
      </c>
      <c r="BO31" t="s">
        <v>74</v>
      </c>
      <c r="BP31" t="s">
        <v>74</v>
      </c>
      <c r="BQ31" t="s">
        <v>74</v>
      </c>
      <c r="BR31" t="s">
        <v>74</v>
      </c>
      <c r="BS31" t="s">
        <v>1103</v>
      </c>
      <c r="BT31" t="str">
        <f>HYPERLINK("https%3A%2F%2Fwww.webofscience.com%2Fwos%2Fwoscc%2Ffull-record%2FWOS:001260295100001","View Full Record in Web of Science")</f>
        <v>View Full Record in Web of Science</v>
      </c>
    </row>
    <row r="32" spans="1:72" x14ac:dyDescent="0.15">
      <c r="A32" t="s">
        <v>72</v>
      </c>
      <c r="B32" t="s">
        <v>1104</v>
      </c>
      <c r="C32" t="s">
        <v>74</v>
      </c>
      <c r="D32" t="s">
        <v>74</v>
      </c>
      <c r="E32" t="s">
        <v>74</v>
      </c>
      <c r="F32" t="s">
        <v>1105</v>
      </c>
      <c r="G32" t="s">
        <v>74</v>
      </c>
      <c r="H32" t="s">
        <v>74</v>
      </c>
      <c r="I32" t="s">
        <v>1106</v>
      </c>
      <c r="J32" t="s">
        <v>1107</v>
      </c>
      <c r="K32" t="s">
        <v>74</v>
      </c>
      <c r="L32" t="s">
        <v>74</v>
      </c>
      <c r="M32" t="s">
        <v>74</v>
      </c>
      <c r="N32" t="s">
        <v>74</v>
      </c>
      <c r="O32" t="s">
        <v>74</v>
      </c>
      <c r="P32" t="s">
        <v>74</v>
      </c>
      <c r="Q32" t="s">
        <v>74</v>
      </c>
      <c r="R32" t="s">
        <v>74</v>
      </c>
      <c r="S32" t="s">
        <v>74</v>
      </c>
      <c r="T32" t="s">
        <v>74</v>
      </c>
      <c r="U32" t="s">
        <v>74</v>
      </c>
      <c r="V32" t="s">
        <v>1108</v>
      </c>
      <c r="W32" t="s">
        <v>74</v>
      </c>
      <c r="X32" t="s">
        <v>74</v>
      </c>
      <c r="Y32" t="s">
        <v>74</v>
      </c>
      <c r="Z32" t="s">
        <v>74</v>
      </c>
      <c r="AA32" t="s">
        <v>1109</v>
      </c>
      <c r="AB32" t="s">
        <v>1110</v>
      </c>
      <c r="AC32" t="s">
        <v>74</v>
      </c>
      <c r="AD32" t="s">
        <v>74</v>
      </c>
      <c r="AE32" t="s">
        <v>74</v>
      </c>
      <c r="AF32" t="s">
        <v>74</v>
      </c>
      <c r="AG32" t="s">
        <v>74</v>
      </c>
      <c r="AH32" t="s">
        <v>74</v>
      </c>
      <c r="AI32" t="s">
        <v>74</v>
      </c>
      <c r="AJ32" t="s">
        <v>74</v>
      </c>
      <c r="AK32" t="s">
        <v>74</v>
      </c>
      <c r="AL32" t="s">
        <v>74</v>
      </c>
      <c r="AM32" t="s">
        <v>74</v>
      </c>
      <c r="AN32" t="s">
        <v>74</v>
      </c>
      <c r="AO32" t="s">
        <v>1111</v>
      </c>
      <c r="AP32" t="s">
        <v>1112</v>
      </c>
      <c r="AQ32" t="s">
        <v>74</v>
      </c>
      <c r="AR32" t="s">
        <v>74</v>
      </c>
      <c r="AS32" t="s">
        <v>74</v>
      </c>
      <c r="AT32" t="s">
        <v>666</v>
      </c>
      <c r="AU32">
        <v>2024</v>
      </c>
      <c r="AV32">
        <v>38</v>
      </c>
      <c r="AW32">
        <v>3</v>
      </c>
      <c r="AX32" t="s">
        <v>74</v>
      </c>
      <c r="AY32" t="s">
        <v>74</v>
      </c>
      <c r="AZ32" t="s">
        <v>74</v>
      </c>
      <c r="BA32" t="s">
        <v>74</v>
      </c>
      <c r="BB32">
        <v>437</v>
      </c>
      <c r="BC32">
        <v>449</v>
      </c>
      <c r="BD32" t="s">
        <v>74</v>
      </c>
      <c r="BE32" t="s">
        <v>1113</v>
      </c>
      <c r="BF32" t="str">
        <f>HYPERLINK("http://dx.doi.org/10.1111/wej.12939","http://dx.doi.org/10.1111/wej.12939")</f>
        <v>http://dx.doi.org/10.1111/wej.12939</v>
      </c>
      <c r="BG32" t="s">
        <v>74</v>
      </c>
      <c r="BH32" t="s">
        <v>1102</v>
      </c>
      <c r="BI32" t="s">
        <v>74</v>
      </c>
      <c r="BJ32" t="s">
        <v>74</v>
      </c>
      <c r="BK32" t="s">
        <v>74</v>
      </c>
      <c r="BL32" t="s">
        <v>74</v>
      </c>
      <c r="BM32" t="s">
        <v>74</v>
      </c>
      <c r="BN32" t="s">
        <v>74</v>
      </c>
      <c r="BO32" t="s">
        <v>74</v>
      </c>
      <c r="BP32" t="s">
        <v>74</v>
      </c>
      <c r="BQ32" t="s">
        <v>74</v>
      </c>
      <c r="BR32" t="s">
        <v>74</v>
      </c>
      <c r="BS32" t="s">
        <v>1114</v>
      </c>
      <c r="BT32" t="str">
        <f>HYPERLINK("https%3A%2F%2Fwww.webofscience.com%2Fwos%2Fwoscc%2Ffull-record%2FWOS:001246009200001","View Full Record in Web of Science")</f>
        <v>View Full Record in Web of Science</v>
      </c>
    </row>
    <row r="33" spans="1:72" x14ac:dyDescent="0.15">
      <c r="A33" t="s">
        <v>72</v>
      </c>
      <c r="B33" t="s">
        <v>1115</v>
      </c>
      <c r="C33" t="s">
        <v>74</v>
      </c>
      <c r="D33" t="s">
        <v>74</v>
      </c>
      <c r="E33" t="s">
        <v>74</v>
      </c>
      <c r="F33" t="s">
        <v>1116</v>
      </c>
      <c r="G33" t="s">
        <v>74</v>
      </c>
      <c r="H33" t="s">
        <v>74</v>
      </c>
      <c r="I33" t="s">
        <v>1117</v>
      </c>
      <c r="J33" t="s">
        <v>147</v>
      </c>
      <c r="K33" t="s">
        <v>74</v>
      </c>
      <c r="L33" t="s">
        <v>74</v>
      </c>
      <c r="M33" t="s">
        <v>74</v>
      </c>
      <c r="N33" t="s">
        <v>74</v>
      </c>
      <c r="O33" t="s">
        <v>74</v>
      </c>
      <c r="P33" t="s">
        <v>74</v>
      </c>
      <c r="Q33" t="s">
        <v>74</v>
      </c>
      <c r="R33" t="s">
        <v>74</v>
      </c>
      <c r="S33" t="s">
        <v>74</v>
      </c>
      <c r="T33" t="s">
        <v>74</v>
      </c>
      <c r="U33" t="s">
        <v>74</v>
      </c>
      <c r="V33" t="s">
        <v>1118</v>
      </c>
      <c r="W33" t="s">
        <v>74</v>
      </c>
      <c r="X33" t="s">
        <v>74</v>
      </c>
      <c r="Y33" t="s">
        <v>74</v>
      </c>
      <c r="Z33" t="s">
        <v>74</v>
      </c>
      <c r="AA33" t="s">
        <v>1119</v>
      </c>
      <c r="AB33" t="s">
        <v>1120</v>
      </c>
      <c r="AC33" t="s">
        <v>74</v>
      </c>
      <c r="AD33" t="s">
        <v>74</v>
      </c>
      <c r="AE33" t="s">
        <v>74</v>
      </c>
      <c r="AF33" t="s">
        <v>74</v>
      </c>
      <c r="AG33" t="s">
        <v>74</v>
      </c>
      <c r="AH33" t="s">
        <v>74</v>
      </c>
      <c r="AI33" t="s">
        <v>74</v>
      </c>
      <c r="AJ33" t="s">
        <v>74</v>
      </c>
      <c r="AK33" t="s">
        <v>74</v>
      </c>
      <c r="AL33" t="s">
        <v>74</v>
      </c>
      <c r="AM33" t="s">
        <v>74</v>
      </c>
      <c r="AN33" t="s">
        <v>74</v>
      </c>
      <c r="AO33" t="s">
        <v>74</v>
      </c>
      <c r="AP33" t="s">
        <v>151</v>
      </c>
      <c r="AQ33" t="s">
        <v>74</v>
      </c>
      <c r="AR33" t="s">
        <v>74</v>
      </c>
      <c r="AS33" t="s">
        <v>74</v>
      </c>
      <c r="AT33" t="s">
        <v>199</v>
      </c>
      <c r="AU33">
        <v>2024</v>
      </c>
      <c r="AV33">
        <v>16</v>
      </c>
      <c r="AW33">
        <v>10</v>
      </c>
      <c r="AX33" t="s">
        <v>74</v>
      </c>
      <c r="AY33" t="s">
        <v>74</v>
      </c>
      <c r="AZ33" t="s">
        <v>74</v>
      </c>
      <c r="BA33" t="s">
        <v>74</v>
      </c>
      <c r="BB33" t="s">
        <v>74</v>
      </c>
      <c r="BC33" t="s">
        <v>74</v>
      </c>
      <c r="BD33">
        <v>1732</v>
      </c>
      <c r="BE33" t="s">
        <v>1121</v>
      </c>
      <c r="BF33" t="str">
        <f>HYPERLINK("http://dx.doi.org/10.3390/rs16101732","http://dx.doi.org/10.3390/rs16101732")</f>
        <v>http://dx.doi.org/10.3390/rs16101732</v>
      </c>
      <c r="BG33" t="s">
        <v>74</v>
      </c>
      <c r="BH33" t="s">
        <v>74</v>
      </c>
      <c r="BI33" t="s">
        <v>74</v>
      </c>
      <c r="BJ33" t="s">
        <v>74</v>
      </c>
      <c r="BK33" t="s">
        <v>74</v>
      </c>
      <c r="BL33" t="s">
        <v>74</v>
      </c>
      <c r="BM33" t="s">
        <v>74</v>
      </c>
      <c r="BN33" t="s">
        <v>74</v>
      </c>
      <c r="BO33" t="s">
        <v>74</v>
      </c>
      <c r="BP33" t="s">
        <v>74</v>
      </c>
      <c r="BQ33" t="s">
        <v>74</v>
      </c>
      <c r="BR33" t="s">
        <v>74</v>
      </c>
      <c r="BS33" t="s">
        <v>1122</v>
      </c>
      <c r="BT33" t="str">
        <f>HYPERLINK("https%3A%2F%2Fwww.webofscience.com%2Fwos%2Fwoscc%2Ffull-record%2FWOS:001231402600001","View Full Record in Web of Science")</f>
        <v>View Full Record in Web of Science</v>
      </c>
    </row>
    <row r="34" spans="1:72" x14ac:dyDescent="0.15">
      <c r="A34" t="s">
        <v>72</v>
      </c>
      <c r="B34" t="s">
        <v>1123</v>
      </c>
      <c r="C34" t="s">
        <v>74</v>
      </c>
      <c r="D34" t="s">
        <v>74</v>
      </c>
      <c r="E34" t="s">
        <v>74</v>
      </c>
      <c r="F34" t="s">
        <v>1124</v>
      </c>
      <c r="G34" t="s">
        <v>74</v>
      </c>
      <c r="H34" t="s">
        <v>74</v>
      </c>
      <c r="I34" t="s">
        <v>1125</v>
      </c>
      <c r="J34" t="s">
        <v>758</v>
      </c>
      <c r="K34" t="s">
        <v>74</v>
      </c>
      <c r="L34" t="s">
        <v>74</v>
      </c>
      <c r="M34" t="s">
        <v>74</v>
      </c>
      <c r="N34" t="s">
        <v>74</v>
      </c>
      <c r="O34" t="s">
        <v>74</v>
      </c>
      <c r="P34" t="s">
        <v>74</v>
      </c>
      <c r="Q34" t="s">
        <v>74</v>
      </c>
      <c r="R34" t="s">
        <v>74</v>
      </c>
      <c r="S34" t="s">
        <v>74</v>
      </c>
      <c r="T34" t="s">
        <v>74</v>
      </c>
      <c r="U34" t="s">
        <v>74</v>
      </c>
      <c r="V34" t="s">
        <v>1126</v>
      </c>
      <c r="W34" t="s">
        <v>74</v>
      </c>
      <c r="X34" t="s">
        <v>74</v>
      </c>
      <c r="Y34" t="s">
        <v>74</v>
      </c>
      <c r="Z34" t="s">
        <v>74</v>
      </c>
      <c r="AA34" t="s">
        <v>1127</v>
      </c>
      <c r="AB34" t="s">
        <v>1128</v>
      </c>
      <c r="AC34" t="s">
        <v>74</v>
      </c>
      <c r="AD34" t="s">
        <v>74</v>
      </c>
      <c r="AE34" t="s">
        <v>74</v>
      </c>
      <c r="AF34" t="s">
        <v>74</v>
      </c>
      <c r="AG34" t="s">
        <v>74</v>
      </c>
      <c r="AH34" t="s">
        <v>74</v>
      </c>
      <c r="AI34" t="s">
        <v>74</v>
      </c>
      <c r="AJ34" t="s">
        <v>74</v>
      </c>
      <c r="AK34" t="s">
        <v>74</v>
      </c>
      <c r="AL34" t="s">
        <v>74</v>
      </c>
      <c r="AM34" t="s">
        <v>74</v>
      </c>
      <c r="AN34" t="s">
        <v>74</v>
      </c>
      <c r="AO34" t="s">
        <v>761</v>
      </c>
      <c r="AP34" t="s">
        <v>762</v>
      </c>
      <c r="AQ34" t="s">
        <v>74</v>
      </c>
      <c r="AR34" t="s">
        <v>74</v>
      </c>
      <c r="AS34" t="s">
        <v>74</v>
      </c>
      <c r="AT34" t="s">
        <v>1129</v>
      </c>
      <c r="AU34">
        <v>2024</v>
      </c>
      <c r="AV34">
        <v>15</v>
      </c>
      <c r="AW34">
        <v>4</v>
      </c>
      <c r="AX34" t="s">
        <v>74</v>
      </c>
      <c r="AY34" t="s">
        <v>74</v>
      </c>
      <c r="AZ34" t="s">
        <v>74</v>
      </c>
      <c r="BA34" t="s">
        <v>74</v>
      </c>
      <c r="BB34">
        <v>363</v>
      </c>
      <c r="BC34">
        <v>372</v>
      </c>
      <c r="BD34" t="s">
        <v>74</v>
      </c>
      <c r="BE34" t="s">
        <v>1130</v>
      </c>
      <c r="BF34" t="str">
        <f>HYPERLINK("http://dx.doi.org/10.1080/2150704X.2024.2327084","http://dx.doi.org/10.1080/2150704X.2024.2327084")</f>
        <v>http://dx.doi.org/10.1080/2150704X.2024.2327084</v>
      </c>
      <c r="BG34" t="s">
        <v>74</v>
      </c>
      <c r="BH34" t="s">
        <v>74</v>
      </c>
      <c r="BI34" t="s">
        <v>74</v>
      </c>
      <c r="BJ34" t="s">
        <v>74</v>
      </c>
      <c r="BK34" t="s">
        <v>74</v>
      </c>
      <c r="BL34" t="s">
        <v>74</v>
      </c>
      <c r="BM34" t="s">
        <v>74</v>
      </c>
      <c r="BN34" t="s">
        <v>74</v>
      </c>
      <c r="BO34" t="s">
        <v>74</v>
      </c>
      <c r="BP34" t="s">
        <v>74</v>
      </c>
      <c r="BQ34" t="s">
        <v>74</v>
      </c>
      <c r="BR34" t="s">
        <v>74</v>
      </c>
      <c r="BS34" t="s">
        <v>1131</v>
      </c>
      <c r="BT34" t="str">
        <f>HYPERLINK("https%3A%2F%2Fwww.webofscience.com%2Fwos%2Fwoscc%2Ffull-record%2FWOS:001184213800001","View Full Record in Web of Science")</f>
        <v>View Full Record in Web of Science</v>
      </c>
    </row>
    <row r="35" spans="1:72" x14ac:dyDescent="0.15">
      <c r="A35" t="s">
        <v>72</v>
      </c>
      <c r="B35" t="s">
        <v>342</v>
      </c>
      <c r="C35" t="s">
        <v>74</v>
      </c>
      <c r="D35" t="s">
        <v>74</v>
      </c>
      <c r="E35" t="s">
        <v>74</v>
      </c>
      <c r="F35" t="s">
        <v>343</v>
      </c>
      <c r="G35" t="s">
        <v>74</v>
      </c>
      <c r="H35" t="s">
        <v>74</v>
      </c>
      <c r="I35" t="s">
        <v>344</v>
      </c>
      <c r="J35" t="s">
        <v>345</v>
      </c>
      <c r="K35" t="s">
        <v>74</v>
      </c>
      <c r="L35" t="s">
        <v>74</v>
      </c>
      <c r="M35" t="s">
        <v>74</v>
      </c>
      <c r="N35" t="s">
        <v>74</v>
      </c>
      <c r="O35" t="s">
        <v>74</v>
      </c>
      <c r="P35" t="s">
        <v>74</v>
      </c>
      <c r="Q35" t="s">
        <v>74</v>
      </c>
      <c r="R35" t="s">
        <v>74</v>
      </c>
      <c r="S35" t="s">
        <v>74</v>
      </c>
      <c r="T35" t="s">
        <v>74</v>
      </c>
      <c r="U35" t="s">
        <v>74</v>
      </c>
      <c r="V35" t="s">
        <v>346</v>
      </c>
      <c r="W35" t="s">
        <v>74</v>
      </c>
      <c r="X35" t="s">
        <v>74</v>
      </c>
      <c r="Y35" t="s">
        <v>74</v>
      </c>
      <c r="Z35" t="s">
        <v>74</v>
      </c>
      <c r="AA35" t="s">
        <v>347</v>
      </c>
      <c r="AB35" t="s">
        <v>348</v>
      </c>
      <c r="AC35" t="s">
        <v>74</v>
      </c>
      <c r="AD35" t="s">
        <v>74</v>
      </c>
      <c r="AE35" t="s">
        <v>74</v>
      </c>
      <c r="AF35" t="s">
        <v>74</v>
      </c>
      <c r="AG35" t="s">
        <v>74</v>
      </c>
      <c r="AH35" t="s">
        <v>74</v>
      </c>
      <c r="AI35" t="s">
        <v>74</v>
      </c>
      <c r="AJ35" t="s">
        <v>74</v>
      </c>
      <c r="AK35" t="s">
        <v>74</v>
      </c>
      <c r="AL35" t="s">
        <v>74</v>
      </c>
      <c r="AM35" t="s">
        <v>74</v>
      </c>
      <c r="AN35" t="s">
        <v>74</v>
      </c>
      <c r="AO35" t="s">
        <v>74</v>
      </c>
      <c r="AP35" t="s">
        <v>349</v>
      </c>
      <c r="AQ35" t="s">
        <v>74</v>
      </c>
      <c r="AR35" t="s">
        <v>74</v>
      </c>
      <c r="AS35" t="s">
        <v>74</v>
      </c>
      <c r="AT35" t="s">
        <v>350</v>
      </c>
      <c r="AU35">
        <v>2024</v>
      </c>
      <c r="AV35">
        <v>18</v>
      </c>
      <c r="AW35">
        <v>2</v>
      </c>
      <c r="AX35" t="s">
        <v>74</v>
      </c>
      <c r="AY35" t="s">
        <v>74</v>
      </c>
      <c r="AZ35" t="s">
        <v>74</v>
      </c>
      <c r="BA35" t="s">
        <v>74</v>
      </c>
      <c r="BB35" t="s">
        <v>74</v>
      </c>
      <c r="BC35" t="s">
        <v>74</v>
      </c>
      <c r="BD35">
        <v>24517</v>
      </c>
      <c r="BE35" t="s">
        <v>351</v>
      </c>
      <c r="BF35" t="str">
        <f>HYPERLINK("http://dx.doi.org/10.1117/1.JRS.18.024517","http://dx.doi.org/10.1117/1.JRS.18.024517")</f>
        <v>http://dx.doi.org/10.1117/1.JRS.18.024517</v>
      </c>
      <c r="BG35" t="s">
        <v>74</v>
      </c>
      <c r="BH35" t="s">
        <v>74</v>
      </c>
      <c r="BI35" t="s">
        <v>74</v>
      </c>
      <c r="BJ35" t="s">
        <v>74</v>
      </c>
      <c r="BK35" t="s">
        <v>74</v>
      </c>
      <c r="BL35" t="s">
        <v>74</v>
      </c>
      <c r="BM35" t="s">
        <v>74</v>
      </c>
      <c r="BN35" t="s">
        <v>74</v>
      </c>
      <c r="BO35" t="s">
        <v>74</v>
      </c>
      <c r="BP35" t="s">
        <v>74</v>
      </c>
      <c r="BQ35" t="s">
        <v>74</v>
      </c>
      <c r="BR35" t="s">
        <v>74</v>
      </c>
      <c r="BS35" t="s">
        <v>352</v>
      </c>
      <c r="BT35" t="str">
        <f>HYPERLINK("https%3A%2F%2Fwww.webofscience.com%2Fwos%2Fwoscc%2Ffull-record%2FWOS:001270024600022","View Full Record in Web of Science")</f>
        <v>View Full Record in Web of Science</v>
      </c>
    </row>
    <row r="36" spans="1:72" x14ac:dyDescent="0.15">
      <c r="A36" t="s">
        <v>72</v>
      </c>
      <c r="B36" t="s">
        <v>353</v>
      </c>
      <c r="C36" t="s">
        <v>74</v>
      </c>
      <c r="D36" t="s">
        <v>74</v>
      </c>
      <c r="E36" t="s">
        <v>74</v>
      </c>
      <c r="F36" t="s">
        <v>354</v>
      </c>
      <c r="G36" t="s">
        <v>74</v>
      </c>
      <c r="H36" t="s">
        <v>74</v>
      </c>
      <c r="I36" t="s">
        <v>355</v>
      </c>
      <c r="J36" t="s">
        <v>232</v>
      </c>
      <c r="K36" t="s">
        <v>74</v>
      </c>
      <c r="L36" t="s">
        <v>74</v>
      </c>
      <c r="M36" t="s">
        <v>74</v>
      </c>
      <c r="N36" t="s">
        <v>74</v>
      </c>
      <c r="O36" t="s">
        <v>74</v>
      </c>
      <c r="P36" t="s">
        <v>74</v>
      </c>
      <c r="Q36" t="s">
        <v>74</v>
      </c>
      <c r="R36" t="s">
        <v>74</v>
      </c>
      <c r="S36" t="s">
        <v>74</v>
      </c>
      <c r="T36" t="s">
        <v>74</v>
      </c>
      <c r="U36" t="s">
        <v>74</v>
      </c>
      <c r="V36" t="s">
        <v>356</v>
      </c>
      <c r="W36" t="s">
        <v>74</v>
      </c>
      <c r="X36" t="s">
        <v>74</v>
      </c>
      <c r="Y36" t="s">
        <v>74</v>
      </c>
      <c r="Z36" t="s">
        <v>74</v>
      </c>
      <c r="AA36" t="s">
        <v>357</v>
      </c>
      <c r="AB36" t="s">
        <v>358</v>
      </c>
      <c r="AC36" t="s">
        <v>74</v>
      </c>
      <c r="AD36" t="s">
        <v>74</v>
      </c>
      <c r="AE36" t="s">
        <v>74</v>
      </c>
      <c r="AF36" t="s">
        <v>74</v>
      </c>
      <c r="AG36" t="s">
        <v>74</v>
      </c>
      <c r="AH36" t="s">
        <v>74</v>
      </c>
      <c r="AI36" t="s">
        <v>74</v>
      </c>
      <c r="AJ36" t="s">
        <v>74</v>
      </c>
      <c r="AK36" t="s">
        <v>74</v>
      </c>
      <c r="AL36" t="s">
        <v>74</v>
      </c>
      <c r="AM36" t="s">
        <v>74</v>
      </c>
      <c r="AN36" t="s">
        <v>74</v>
      </c>
      <c r="AO36" t="s">
        <v>74</v>
      </c>
      <c r="AP36" t="s">
        <v>236</v>
      </c>
      <c r="AQ36" t="s">
        <v>74</v>
      </c>
      <c r="AR36" t="s">
        <v>74</v>
      </c>
      <c r="AS36" t="s">
        <v>74</v>
      </c>
      <c r="AT36" t="s">
        <v>359</v>
      </c>
      <c r="AU36">
        <v>2024</v>
      </c>
      <c r="AV36">
        <v>11</v>
      </c>
      <c r="AW36">
        <v>3</v>
      </c>
      <c r="AX36" t="s">
        <v>74</v>
      </c>
      <c r="AY36" t="s">
        <v>74</v>
      </c>
      <c r="AZ36" t="s">
        <v>74</v>
      </c>
      <c r="BA36" t="s">
        <v>74</v>
      </c>
      <c r="BB36" t="s">
        <v>74</v>
      </c>
      <c r="BC36" t="s">
        <v>74</v>
      </c>
      <c r="BD36" t="s">
        <v>360</v>
      </c>
      <c r="BE36" t="s">
        <v>361</v>
      </c>
      <c r="BF36" t="str">
        <f>HYPERLINK("http://dx.doi.org/10.1029/2023EA002964","http://dx.doi.org/10.1029/2023EA002964")</f>
        <v>http://dx.doi.org/10.1029/2023EA002964</v>
      </c>
      <c r="BG36" t="s">
        <v>74</v>
      </c>
      <c r="BH36" t="s">
        <v>74</v>
      </c>
      <c r="BI36" t="s">
        <v>74</v>
      </c>
      <c r="BJ36" t="s">
        <v>74</v>
      </c>
      <c r="BK36" t="s">
        <v>74</v>
      </c>
      <c r="BL36" t="s">
        <v>74</v>
      </c>
      <c r="BM36" t="s">
        <v>74</v>
      </c>
      <c r="BN36" t="s">
        <v>74</v>
      </c>
      <c r="BO36" t="s">
        <v>74</v>
      </c>
      <c r="BP36" t="s">
        <v>74</v>
      </c>
      <c r="BQ36" t="s">
        <v>74</v>
      </c>
      <c r="BR36" t="s">
        <v>74</v>
      </c>
      <c r="BS36" t="s">
        <v>362</v>
      </c>
      <c r="BT36" t="str">
        <f>HYPERLINK("https%3A%2F%2Fwww.webofscience.com%2Fwos%2Fwoscc%2Ffull-record%2FWOS:001185603600001","View Full Record in Web of Science")</f>
        <v>View Full Record in Web of Science</v>
      </c>
    </row>
    <row r="37" spans="1:72" x14ac:dyDescent="0.15">
      <c r="A37" t="s">
        <v>72</v>
      </c>
      <c r="B37" t="s">
        <v>1132</v>
      </c>
      <c r="C37" t="s">
        <v>74</v>
      </c>
      <c r="D37" t="s">
        <v>74</v>
      </c>
      <c r="E37" t="s">
        <v>74</v>
      </c>
      <c r="F37" t="s">
        <v>1133</v>
      </c>
      <c r="G37" t="s">
        <v>74</v>
      </c>
      <c r="H37" t="s">
        <v>74</v>
      </c>
      <c r="I37" t="s">
        <v>1134</v>
      </c>
      <c r="J37" t="s">
        <v>1135</v>
      </c>
      <c r="K37" t="s">
        <v>74</v>
      </c>
      <c r="L37" t="s">
        <v>74</v>
      </c>
      <c r="M37" t="s">
        <v>74</v>
      </c>
      <c r="N37" t="s">
        <v>74</v>
      </c>
      <c r="O37" t="s">
        <v>74</v>
      </c>
      <c r="P37" t="s">
        <v>74</v>
      </c>
      <c r="Q37" t="s">
        <v>74</v>
      </c>
      <c r="R37" t="s">
        <v>74</v>
      </c>
      <c r="S37" t="s">
        <v>74</v>
      </c>
      <c r="T37" t="s">
        <v>74</v>
      </c>
      <c r="U37" t="s">
        <v>74</v>
      </c>
      <c r="V37" t="s">
        <v>1136</v>
      </c>
      <c r="W37" t="s">
        <v>74</v>
      </c>
      <c r="X37" t="s">
        <v>74</v>
      </c>
      <c r="Y37" t="s">
        <v>74</v>
      </c>
      <c r="Z37" t="s">
        <v>74</v>
      </c>
      <c r="AA37" t="s">
        <v>1137</v>
      </c>
      <c r="AB37" t="s">
        <v>74</v>
      </c>
      <c r="AC37" t="s">
        <v>74</v>
      </c>
      <c r="AD37" t="s">
        <v>74</v>
      </c>
      <c r="AE37" t="s">
        <v>74</v>
      </c>
      <c r="AF37" t="s">
        <v>74</v>
      </c>
      <c r="AG37" t="s">
        <v>74</v>
      </c>
      <c r="AH37" t="s">
        <v>74</v>
      </c>
      <c r="AI37" t="s">
        <v>74</v>
      </c>
      <c r="AJ37" t="s">
        <v>74</v>
      </c>
      <c r="AK37" t="s">
        <v>74</v>
      </c>
      <c r="AL37" t="s">
        <v>74</v>
      </c>
      <c r="AM37" t="s">
        <v>74</v>
      </c>
      <c r="AN37" t="s">
        <v>74</v>
      </c>
      <c r="AO37" t="s">
        <v>1138</v>
      </c>
      <c r="AP37" t="s">
        <v>1139</v>
      </c>
      <c r="AQ37" t="s">
        <v>74</v>
      </c>
      <c r="AR37" t="s">
        <v>74</v>
      </c>
      <c r="AS37" t="s">
        <v>74</v>
      </c>
      <c r="AT37" t="s">
        <v>311</v>
      </c>
      <c r="AU37">
        <v>2024</v>
      </c>
      <c r="AV37">
        <v>52</v>
      </c>
      <c r="AW37">
        <v>2</v>
      </c>
      <c r="AX37" t="s">
        <v>74</v>
      </c>
      <c r="AY37" t="s">
        <v>74</v>
      </c>
      <c r="AZ37" t="s">
        <v>74</v>
      </c>
      <c r="BA37" t="s">
        <v>74</v>
      </c>
      <c r="BB37">
        <v>449</v>
      </c>
      <c r="BC37">
        <v>462</v>
      </c>
      <c r="BD37" t="s">
        <v>74</v>
      </c>
      <c r="BE37" t="s">
        <v>1140</v>
      </c>
      <c r="BF37" t="str">
        <f>HYPERLINK("http://dx.doi.org/10.1007/s12524-024-01828-y","http://dx.doi.org/10.1007/s12524-024-01828-y")</f>
        <v>http://dx.doi.org/10.1007/s12524-024-01828-y</v>
      </c>
      <c r="BG37" t="s">
        <v>74</v>
      </c>
      <c r="BH37" t="s">
        <v>1141</v>
      </c>
      <c r="BI37" t="s">
        <v>74</v>
      </c>
      <c r="BJ37" t="s">
        <v>74</v>
      </c>
      <c r="BK37" t="s">
        <v>74</v>
      </c>
      <c r="BL37" t="s">
        <v>74</v>
      </c>
      <c r="BM37" t="s">
        <v>74</v>
      </c>
      <c r="BN37" t="s">
        <v>74</v>
      </c>
      <c r="BO37" t="s">
        <v>74</v>
      </c>
      <c r="BP37" t="s">
        <v>74</v>
      </c>
      <c r="BQ37" t="s">
        <v>74</v>
      </c>
      <c r="BR37" t="s">
        <v>74</v>
      </c>
      <c r="BS37" t="s">
        <v>1142</v>
      </c>
      <c r="BT37" t="str">
        <f>HYPERLINK("https%3A%2F%2Fwww.webofscience.com%2Fwos%2Fwoscc%2Ffull-record%2FWOS:001171287900001","View Full Record in Web of Science")</f>
        <v>View Full Record in Web of Science</v>
      </c>
    </row>
    <row r="38" spans="1:72" x14ac:dyDescent="0.15">
      <c r="A38" t="s">
        <v>72</v>
      </c>
      <c r="B38" t="s">
        <v>1143</v>
      </c>
      <c r="C38" t="s">
        <v>74</v>
      </c>
      <c r="D38" t="s">
        <v>74</v>
      </c>
      <c r="E38" t="s">
        <v>74</v>
      </c>
      <c r="F38" t="s">
        <v>1144</v>
      </c>
      <c r="G38" t="s">
        <v>74</v>
      </c>
      <c r="H38" t="s">
        <v>74</v>
      </c>
      <c r="I38" t="s">
        <v>1145</v>
      </c>
      <c r="J38" t="s">
        <v>244</v>
      </c>
      <c r="K38" t="s">
        <v>74</v>
      </c>
      <c r="L38" t="s">
        <v>74</v>
      </c>
      <c r="M38" t="s">
        <v>74</v>
      </c>
      <c r="N38" t="s">
        <v>74</v>
      </c>
      <c r="O38" t="s">
        <v>74</v>
      </c>
      <c r="P38" t="s">
        <v>74</v>
      </c>
      <c r="Q38" t="s">
        <v>74</v>
      </c>
      <c r="R38" t="s">
        <v>74</v>
      </c>
      <c r="S38" t="s">
        <v>74</v>
      </c>
      <c r="T38" t="s">
        <v>74</v>
      </c>
      <c r="U38" t="s">
        <v>74</v>
      </c>
      <c r="V38" t="s">
        <v>1146</v>
      </c>
      <c r="W38" t="s">
        <v>74</v>
      </c>
      <c r="X38" t="s">
        <v>74</v>
      </c>
      <c r="Y38" t="s">
        <v>74</v>
      </c>
      <c r="Z38" t="s">
        <v>74</v>
      </c>
      <c r="AA38" t="s">
        <v>1147</v>
      </c>
      <c r="AB38" t="s">
        <v>1148</v>
      </c>
      <c r="AC38" t="s">
        <v>74</v>
      </c>
      <c r="AD38" t="s">
        <v>74</v>
      </c>
      <c r="AE38" t="s">
        <v>74</v>
      </c>
      <c r="AF38" t="s">
        <v>74</v>
      </c>
      <c r="AG38" t="s">
        <v>74</v>
      </c>
      <c r="AH38" t="s">
        <v>74</v>
      </c>
      <c r="AI38" t="s">
        <v>74</v>
      </c>
      <c r="AJ38" t="s">
        <v>74</v>
      </c>
      <c r="AK38" t="s">
        <v>74</v>
      </c>
      <c r="AL38" t="s">
        <v>74</v>
      </c>
      <c r="AM38" t="s">
        <v>74</v>
      </c>
      <c r="AN38" t="s">
        <v>74</v>
      </c>
      <c r="AO38" t="s">
        <v>248</v>
      </c>
      <c r="AP38" t="s">
        <v>249</v>
      </c>
      <c r="AQ38" t="s">
        <v>74</v>
      </c>
      <c r="AR38" t="s">
        <v>74</v>
      </c>
      <c r="AS38" t="s">
        <v>74</v>
      </c>
      <c r="AT38" t="s">
        <v>74</v>
      </c>
      <c r="AU38">
        <v>2024</v>
      </c>
      <c r="AV38">
        <v>17</v>
      </c>
      <c r="AW38" t="s">
        <v>74</v>
      </c>
      <c r="AX38" t="s">
        <v>74</v>
      </c>
      <c r="AY38" t="s">
        <v>74</v>
      </c>
      <c r="AZ38" t="s">
        <v>74</v>
      </c>
      <c r="BA38" t="s">
        <v>74</v>
      </c>
      <c r="BB38">
        <v>5541</v>
      </c>
      <c r="BC38">
        <v>5552</v>
      </c>
      <c r="BD38" t="s">
        <v>74</v>
      </c>
      <c r="BE38" t="s">
        <v>1149</v>
      </c>
      <c r="BF38" t="str">
        <f>HYPERLINK("http://dx.doi.org/10.1109/JSTARS.2024.3361838","http://dx.doi.org/10.1109/JSTARS.2024.3361838")</f>
        <v>http://dx.doi.org/10.1109/JSTARS.2024.3361838</v>
      </c>
      <c r="BG38" t="s">
        <v>74</v>
      </c>
      <c r="BH38" t="s">
        <v>74</v>
      </c>
      <c r="BI38" t="s">
        <v>74</v>
      </c>
      <c r="BJ38" t="s">
        <v>74</v>
      </c>
      <c r="BK38" t="s">
        <v>74</v>
      </c>
      <c r="BL38" t="s">
        <v>74</v>
      </c>
      <c r="BM38" t="s">
        <v>74</v>
      </c>
      <c r="BN38" t="s">
        <v>74</v>
      </c>
      <c r="BO38" t="s">
        <v>74</v>
      </c>
      <c r="BP38" t="s">
        <v>74</v>
      </c>
      <c r="BQ38" t="s">
        <v>74</v>
      </c>
      <c r="BR38" t="s">
        <v>74</v>
      </c>
      <c r="BS38" t="s">
        <v>1150</v>
      </c>
      <c r="BT38" t="str">
        <f>HYPERLINK("https%3A%2F%2Fwww.webofscience.com%2Fwos%2Fwoscc%2Ffull-record%2FWOS:001180713400007","View Full Record in Web of Science")</f>
        <v>View Full Record in Web of Science</v>
      </c>
    </row>
    <row r="39" spans="1:72" x14ac:dyDescent="0.15">
      <c r="A39" t="s">
        <v>72</v>
      </c>
      <c r="B39" t="s">
        <v>376</v>
      </c>
      <c r="C39" t="s">
        <v>74</v>
      </c>
      <c r="D39" t="s">
        <v>74</v>
      </c>
      <c r="E39" t="s">
        <v>74</v>
      </c>
      <c r="F39" t="s">
        <v>377</v>
      </c>
      <c r="G39" t="s">
        <v>74</v>
      </c>
      <c r="H39" t="s">
        <v>74</v>
      </c>
      <c r="I39" t="s">
        <v>378</v>
      </c>
      <c r="J39" t="s">
        <v>244</v>
      </c>
      <c r="K39" t="s">
        <v>74</v>
      </c>
      <c r="L39" t="s">
        <v>74</v>
      </c>
      <c r="M39" t="s">
        <v>74</v>
      </c>
      <c r="N39" t="s">
        <v>74</v>
      </c>
      <c r="O39" t="s">
        <v>74</v>
      </c>
      <c r="P39" t="s">
        <v>74</v>
      </c>
      <c r="Q39" t="s">
        <v>74</v>
      </c>
      <c r="R39" t="s">
        <v>74</v>
      </c>
      <c r="S39" t="s">
        <v>74</v>
      </c>
      <c r="T39" t="s">
        <v>74</v>
      </c>
      <c r="U39" t="s">
        <v>74</v>
      </c>
      <c r="V39" t="s">
        <v>379</v>
      </c>
      <c r="W39" t="s">
        <v>74</v>
      </c>
      <c r="X39" t="s">
        <v>74</v>
      </c>
      <c r="Y39" t="s">
        <v>74</v>
      </c>
      <c r="Z39" t="s">
        <v>74</v>
      </c>
      <c r="AA39" t="s">
        <v>380</v>
      </c>
      <c r="AB39" t="s">
        <v>381</v>
      </c>
      <c r="AC39" t="s">
        <v>74</v>
      </c>
      <c r="AD39" t="s">
        <v>74</v>
      </c>
      <c r="AE39" t="s">
        <v>74</v>
      </c>
      <c r="AF39" t="s">
        <v>74</v>
      </c>
      <c r="AG39" t="s">
        <v>74</v>
      </c>
      <c r="AH39" t="s">
        <v>74</v>
      </c>
      <c r="AI39" t="s">
        <v>74</v>
      </c>
      <c r="AJ39" t="s">
        <v>74</v>
      </c>
      <c r="AK39" t="s">
        <v>74</v>
      </c>
      <c r="AL39" t="s">
        <v>74</v>
      </c>
      <c r="AM39" t="s">
        <v>74</v>
      </c>
      <c r="AN39" t="s">
        <v>74</v>
      </c>
      <c r="AO39" t="s">
        <v>248</v>
      </c>
      <c r="AP39" t="s">
        <v>249</v>
      </c>
      <c r="AQ39" t="s">
        <v>74</v>
      </c>
      <c r="AR39" t="s">
        <v>74</v>
      </c>
      <c r="AS39" t="s">
        <v>74</v>
      </c>
      <c r="AT39" t="s">
        <v>74</v>
      </c>
      <c r="AU39">
        <v>2024</v>
      </c>
      <c r="AV39">
        <v>17</v>
      </c>
      <c r="AW39" t="s">
        <v>74</v>
      </c>
      <c r="AX39" t="s">
        <v>74</v>
      </c>
      <c r="AY39" t="s">
        <v>74</v>
      </c>
      <c r="AZ39" t="s">
        <v>74</v>
      </c>
      <c r="BA39" t="s">
        <v>74</v>
      </c>
      <c r="BB39">
        <v>2901</v>
      </c>
      <c r="BC39">
        <v>2917</v>
      </c>
      <c r="BD39" t="s">
        <v>74</v>
      </c>
      <c r="BE39" t="s">
        <v>382</v>
      </c>
      <c r="BF39" t="str">
        <f>HYPERLINK("http://dx.doi.org/10.1109/JSTARS.2023.3342990","http://dx.doi.org/10.1109/JSTARS.2023.3342990")</f>
        <v>http://dx.doi.org/10.1109/JSTARS.2023.3342990</v>
      </c>
      <c r="BG39" t="s">
        <v>74</v>
      </c>
      <c r="BH39" t="s">
        <v>74</v>
      </c>
      <c r="BI39" t="s">
        <v>74</v>
      </c>
      <c r="BJ39" t="s">
        <v>74</v>
      </c>
      <c r="BK39" t="s">
        <v>74</v>
      </c>
      <c r="BL39" t="s">
        <v>74</v>
      </c>
      <c r="BM39" t="s">
        <v>74</v>
      </c>
      <c r="BN39" t="s">
        <v>74</v>
      </c>
      <c r="BO39" t="s">
        <v>74</v>
      </c>
      <c r="BP39" t="s">
        <v>74</v>
      </c>
      <c r="BQ39" t="s">
        <v>74</v>
      </c>
      <c r="BR39" t="s">
        <v>74</v>
      </c>
      <c r="BS39" t="s">
        <v>383</v>
      </c>
      <c r="BT39" t="str">
        <f>HYPERLINK("https%3A%2F%2Fwww.webofscience.com%2Fwos%2Fwoscc%2Ffull-record%2FWOS:001144739300006","View Full Record in Web of Science")</f>
        <v>View Full Record in Web of Science</v>
      </c>
    </row>
    <row r="40" spans="1:72" x14ac:dyDescent="0.15">
      <c r="A40" t="s">
        <v>252</v>
      </c>
      <c r="B40" t="s">
        <v>384</v>
      </c>
      <c r="C40" t="s">
        <v>74</v>
      </c>
      <c r="D40" t="s">
        <v>74</v>
      </c>
      <c r="E40" t="s">
        <v>254</v>
      </c>
      <c r="F40" t="s">
        <v>385</v>
      </c>
      <c r="G40" t="s">
        <v>74</v>
      </c>
      <c r="H40" t="s">
        <v>74</v>
      </c>
      <c r="I40" t="s">
        <v>386</v>
      </c>
      <c r="J40" t="s">
        <v>387</v>
      </c>
      <c r="K40" t="s">
        <v>258</v>
      </c>
      <c r="L40" t="s">
        <v>74</v>
      </c>
      <c r="M40" t="s">
        <v>74</v>
      </c>
      <c r="N40" t="s">
        <v>74</v>
      </c>
      <c r="O40" t="s">
        <v>388</v>
      </c>
      <c r="P40" t="s">
        <v>389</v>
      </c>
      <c r="Q40" t="s">
        <v>390</v>
      </c>
      <c r="R40" t="s">
        <v>391</v>
      </c>
      <c r="S40" t="s">
        <v>74</v>
      </c>
      <c r="T40" t="s">
        <v>74</v>
      </c>
      <c r="U40" t="s">
        <v>74</v>
      </c>
      <c r="V40" t="s">
        <v>392</v>
      </c>
      <c r="W40" t="s">
        <v>74</v>
      </c>
      <c r="X40" t="s">
        <v>74</v>
      </c>
      <c r="Y40" t="s">
        <v>74</v>
      </c>
      <c r="Z40" t="s">
        <v>74</v>
      </c>
      <c r="AA40" t="s">
        <v>74</v>
      </c>
      <c r="AB40" t="s">
        <v>74</v>
      </c>
      <c r="AC40" t="s">
        <v>74</v>
      </c>
      <c r="AD40" t="s">
        <v>74</v>
      </c>
      <c r="AE40" t="s">
        <v>74</v>
      </c>
      <c r="AF40" t="s">
        <v>74</v>
      </c>
      <c r="AG40" t="s">
        <v>74</v>
      </c>
      <c r="AH40" t="s">
        <v>74</v>
      </c>
      <c r="AI40" t="s">
        <v>74</v>
      </c>
      <c r="AJ40" t="s">
        <v>74</v>
      </c>
      <c r="AK40" t="s">
        <v>74</v>
      </c>
      <c r="AL40" t="s">
        <v>74</v>
      </c>
      <c r="AM40" t="s">
        <v>74</v>
      </c>
      <c r="AN40" t="s">
        <v>74</v>
      </c>
      <c r="AO40" t="s">
        <v>265</v>
      </c>
      <c r="AP40" t="s">
        <v>74</v>
      </c>
      <c r="AQ40" t="s">
        <v>393</v>
      </c>
      <c r="AR40" t="s">
        <v>74</v>
      </c>
      <c r="AS40" t="s">
        <v>74</v>
      </c>
      <c r="AT40" t="s">
        <v>74</v>
      </c>
      <c r="AU40">
        <v>2024</v>
      </c>
      <c r="AV40" t="s">
        <v>74</v>
      </c>
      <c r="AW40" t="s">
        <v>74</v>
      </c>
      <c r="AX40" t="s">
        <v>74</v>
      </c>
      <c r="AY40" t="s">
        <v>74</v>
      </c>
      <c r="AZ40" t="s">
        <v>74</v>
      </c>
      <c r="BA40" t="s">
        <v>74</v>
      </c>
      <c r="BB40">
        <v>1869</v>
      </c>
      <c r="BC40">
        <v>1872</v>
      </c>
      <c r="BD40" t="s">
        <v>74</v>
      </c>
      <c r="BE40" t="s">
        <v>394</v>
      </c>
      <c r="BF40" t="str">
        <f>HYPERLINK("http://dx.doi.org/10.1109/IGARSS53475.2024.10641609","http://dx.doi.org/10.1109/IGARSS53475.2024.10641609")</f>
        <v>http://dx.doi.org/10.1109/IGARSS53475.2024.10641609</v>
      </c>
      <c r="BG40" t="s">
        <v>74</v>
      </c>
      <c r="BH40" t="s">
        <v>74</v>
      </c>
      <c r="BI40" t="s">
        <v>74</v>
      </c>
      <c r="BJ40" t="s">
        <v>74</v>
      </c>
      <c r="BK40" t="s">
        <v>74</v>
      </c>
      <c r="BL40" t="s">
        <v>74</v>
      </c>
      <c r="BM40" t="s">
        <v>74</v>
      </c>
      <c r="BN40" t="s">
        <v>74</v>
      </c>
      <c r="BO40" t="s">
        <v>74</v>
      </c>
      <c r="BP40" t="s">
        <v>74</v>
      </c>
      <c r="BQ40" t="s">
        <v>74</v>
      </c>
      <c r="BR40" t="s">
        <v>74</v>
      </c>
      <c r="BS40" t="s">
        <v>395</v>
      </c>
      <c r="BT40" t="str">
        <f>HYPERLINK("https%3A%2F%2Fwww.webofscience.com%2Fwos%2Fwoscc%2Ffull-record%2FWOS:001316158502060","View Full Record in Web of Science")</f>
        <v>View Full Record in Web of Science</v>
      </c>
    </row>
    <row r="41" spans="1:72" x14ac:dyDescent="0.15">
      <c r="A41" t="s">
        <v>72</v>
      </c>
      <c r="B41" t="s">
        <v>396</v>
      </c>
      <c r="C41" t="s">
        <v>74</v>
      </c>
      <c r="D41" t="s">
        <v>74</v>
      </c>
      <c r="E41" t="s">
        <v>74</v>
      </c>
      <c r="F41" t="s">
        <v>397</v>
      </c>
      <c r="G41" t="s">
        <v>74</v>
      </c>
      <c r="H41" t="s">
        <v>74</v>
      </c>
      <c r="I41" t="s">
        <v>398</v>
      </c>
      <c r="J41" t="s">
        <v>399</v>
      </c>
      <c r="K41" t="s">
        <v>74</v>
      </c>
      <c r="L41" t="s">
        <v>74</v>
      </c>
      <c r="M41" t="s">
        <v>74</v>
      </c>
      <c r="N41" t="s">
        <v>74</v>
      </c>
      <c r="O41" t="s">
        <v>74</v>
      </c>
      <c r="P41" t="s">
        <v>74</v>
      </c>
      <c r="Q41" t="s">
        <v>74</v>
      </c>
      <c r="R41" t="s">
        <v>74</v>
      </c>
      <c r="S41" t="s">
        <v>74</v>
      </c>
      <c r="T41" t="s">
        <v>74</v>
      </c>
      <c r="U41" t="s">
        <v>74</v>
      </c>
      <c r="V41" t="s">
        <v>400</v>
      </c>
      <c r="W41" t="s">
        <v>74</v>
      </c>
      <c r="X41" t="s">
        <v>74</v>
      </c>
      <c r="Y41" t="s">
        <v>74</v>
      </c>
      <c r="Z41" t="s">
        <v>74</v>
      </c>
      <c r="AA41" t="s">
        <v>401</v>
      </c>
      <c r="AB41" t="s">
        <v>402</v>
      </c>
      <c r="AC41" t="s">
        <v>74</v>
      </c>
      <c r="AD41" t="s">
        <v>74</v>
      </c>
      <c r="AE41" t="s">
        <v>74</v>
      </c>
      <c r="AF41" t="s">
        <v>74</v>
      </c>
      <c r="AG41" t="s">
        <v>74</v>
      </c>
      <c r="AH41" t="s">
        <v>74</v>
      </c>
      <c r="AI41" t="s">
        <v>74</v>
      </c>
      <c r="AJ41" t="s">
        <v>74</v>
      </c>
      <c r="AK41" t="s">
        <v>74</v>
      </c>
      <c r="AL41" t="s">
        <v>74</v>
      </c>
      <c r="AM41" t="s">
        <v>74</v>
      </c>
      <c r="AN41" t="s">
        <v>74</v>
      </c>
      <c r="AO41" t="s">
        <v>403</v>
      </c>
      <c r="AP41" t="s">
        <v>404</v>
      </c>
      <c r="AQ41" t="s">
        <v>74</v>
      </c>
      <c r="AR41" t="s">
        <v>74</v>
      </c>
      <c r="AS41" t="s">
        <v>74</v>
      </c>
      <c r="AT41" t="s">
        <v>405</v>
      </c>
      <c r="AU41">
        <v>2024</v>
      </c>
      <c r="AV41">
        <v>25</v>
      </c>
      <c r="AW41">
        <v>1</v>
      </c>
      <c r="AX41" t="s">
        <v>74</v>
      </c>
      <c r="AY41" t="s">
        <v>74</v>
      </c>
      <c r="AZ41" t="s">
        <v>74</v>
      </c>
      <c r="BA41" t="s">
        <v>74</v>
      </c>
      <c r="BB41">
        <v>65</v>
      </c>
      <c r="BC41">
        <v>88</v>
      </c>
      <c r="BD41" t="s">
        <v>74</v>
      </c>
      <c r="BE41" t="s">
        <v>406</v>
      </c>
      <c r="BF41" t="str">
        <f>HYPERLINK("http://dx.doi.org/10.1175/JHM-D-23-0047.1","http://dx.doi.org/10.1175/JHM-D-23-0047.1")</f>
        <v>http://dx.doi.org/10.1175/JHM-D-23-0047.1</v>
      </c>
      <c r="BG41" t="s">
        <v>74</v>
      </c>
      <c r="BH41" t="s">
        <v>74</v>
      </c>
      <c r="BI41" t="s">
        <v>74</v>
      </c>
      <c r="BJ41" t="s">
        <v>74</v>
      </c>
      <c r="BK41" t="s">
        <v>74</v>
      </c>
      <c r="BL41" t="s">
        <v>74</v>
      </c>
      <c r="BM41" t="s">
        <v>74</v>
      </c>
      <c r="BN41" t="s">
        <v>74</v>
      </c>
      <c r="BO41" t="s">
        <v>74</v>
      </c>
      <c r="BP41" t="s">
        <v>74</v>
      </c>
      <c r="BQ41" t="s">
        <v>74</v>
      </c>
      <c r="BR41" t="s">
        <v>74</v>
      </c>
      <c r="BS41" t="s">
        <v>407</v>
      </c>
      <c r="BT41" t="str">
        <f>HYPERLINK("https%3A%2F%2Fwww.webofscience.com%2Fwos%2Fwoscc%2Ffull-record%2FWOS:001131597600001","View Full Record in Web of Science")</f>
        <v>View Full Record in Web of Science</v>
      </c>
    </row>
    <row r="42" spans="1:72" x14ac:dyDescent="0.15">
      <c r="A42" t="s">
        <v>72</v>
      </c>
      <c r="B42" t="s">
        <v>414</v>
      </c>
      <c r="C42" t="s">
        <v>74</v>
      </c>
      <c r="D42" t="s">
        <v>74</v>
      </c>
      <c r="E42" t="s">
        <v>74</v>
      </c>
      <c r="F42" t="s">
        <v>415</v>
      </c>
      <c r="G42" t="s">
        <v>74</v>
      </c>
      <c r="H42" t="s">
        <v>74</v>
      </c>
      <c r="I42" t="s">
        <v>416</v>
      </c>
      <c r="J42" t="s">
        <v>244</v>
      </c>
      <c r="K42" t="s">
        <v>74</v>
      </c>
      <c r="L42" t="s">
        <v>74</v>
      </c>
      <c r="M42" t="s">
        <v>74</v>
      </c>
      <c r="N42" t="s">
        <v>74</v>
      </c>
      <c r="O42" t="s">
        <v>74</v>
      </c>
      <c r="P42" t="s">
        <v>74</v>
      </c>
      <c r="Q42" t="s">
        <v>74</v>
      </c>
      <c r="R42" t="s">
        <v>74</v>
      </c>
      <c r="S42" t="s">
        <v>74</v>
      </c>
      <c r="T42" t="s">
        <v>74</v>
      </c>
      <c r="U42" t="s">
        <v>74</v>
      </c>
      <c r="V42" t="s">
        <v>417</v>
      </c>
      <c r="W42" t="s">
        <v>74</v>
      </c>
      <c r="X42" t="s">
        <v>74</v>
      </c>
      <c r="Y42" t="s">
        <v>74</v>
      </c>
      <c r="Z42" t="s">
        <v>74</v>
      </c>
      <c r="AA42" t="s">
        <v>418</v>
      </c>
      <c r="AB42" t="s">
        <v>419</v>
      </c>
      <c r="AC42" t="s">
        <v>74</v>
      </c>
      <c r="AD42" t="s">
        <v>74</v>
      </c>
      <c r="AE42" t="s">
        <v>74</v>
      </c>
      <c r="AF42" t="s">
        <v>74</v>
      </c>
      <c r="AG42" t="s">
        <v>74</v>
      </c>
      <c r="AH42" t="s">
        <v>74</v>
      </c>
      <c r="AI42" t="s">
        <v>74</v>
      </c>
      <c r="AJ42" t="s">
        <v>74</v>
      </c>
      <c r="AK42" t="s">
        <v>74</v>
      </c>
      <c r="AL42" t="s">
        <v>74</v>
      </c>
      <c r="AM42" t="s">
        <v>74</v>
      </c>
      <c r="AN42" t="s">
        <v>74</v>
      </c>
      <c r="AO42" t="s">
        <v>248</v>
      </c>
      <c r="AP42" t="s">
        <v>249</v>
      </c>
      <c r="AQ42" t="s">
        <v>74</v>
      </c>
      <c r="AR42" t="s">
        <v>74</v>
      </c>
      <c r="AS42" t="s">
        <v>74</v>
      </c>
      <c r="AT42" t="s">
        <v>74</v>
      </c>
      <c r="AU42">
        <v>2024</v>
      </c>
      <c r="AV42">
        <v>17</v>
      </c>
      <c r="AW42" t="s">
        <v>74</v>
      </c>
      <c r="AX42" t="s">
        <v>74</v>
      </c>
      <c r="AY42" t="s">
        <v>74</v>
      </c>
      <c r="AZ42" t="s">
        <v>74</v>
      </c>
      <c r="BA42" t="s">
        <v>74</v>
      </c>
      <c r="BB42">
        <v>10083</v>
      </c>
      <c r="BC42">
        <v>10096</v>
      </c>
      <c r="BD42" t="s">
        <v>74</v>
      </c>
      <c r="BE42" t="s">
        <v>420</v>
      </c>
      <c r="BF42" t="str">
        <f>HYPERLINK("http://dx.doi.org/10.1109/JSTARS.2024.3360087","http://dx.doi.org/10.1109/JSTARS.2024.3360087")</f>
        <v>http://dx.doi.org/10.1109/JSTARS.2024.3360087</v>
      </c>
      <c r="BG42" t="s">
        <v>74</v>
      </c>
      <c r="BH42" t="s">
        <v>74</v>
      </c>
      <c r="BI42" t="s">
        <v>74</v>
      </c>
      <c r="BJ42" t="s">
        <v>74</v>
      </c>
      <c r="BK42" t="s">
        <v>74</v>
      </c>
      <c r="BL42" t="s">
        <v>74</v>
      </c>
      <c r="BM42" t="s">
        <v>74</v>
      </c>
      <c r="BN42" t="s">
        <v>74</v>
      </c>
      <c r="BO42" t="s">
        <v>74</v>
      </c>
      <c r="BP42" t="s">
        <v>74</v>
      </c>
      <c r="BQ42" t="s">
        <v>74</v>
      </c>
      <c r="BR42" t="s">
        <v>74</v>
      </c>
      <c r="BS42" t="s">
        <v>421</v>
      </c>
      <c r="BT42" t="str">
        <f>HYPERLINK("https%3A%2F%2Fwww.webofscience.com%2Fwos%2Fwoscc%2Ffull-record%2FWOS:001236723400012","View Full Record in Web of Science")</f>
        <v>View Full Record in Web of Science</v>
      </c>
    </row>
    <row r="43" spans="1:72" x14ac:dyDescent="0.15">
      <c r="A43" t="s">
        <v>72</v>
      </c>
      <c r="B43" t="s">
        <v>1151</v>
      </c>
      <c r="C43" t="s">
        <v>74</v>
      </c>
      <c r="D43" t="s">
        <v>74</v>
      </c>
      <c r="E43" t="s">
        <v>74</v>
      </c>
      <c r="F43" t="s">
        <v>1152</v>
      </c>
      <c r="G43" t="s">
        <v>74</v>
      </c>
      <c r="H43" t="s">
        <v>74</v>
      </c>
      <c r="I43" t="s">
        <v>1153</v>
      </c>
      <c r="J43" t="s">
        <v>450</v>
      </c>
      <c r="K43" t="s">
        <v>74</v>
      </c>
      <c r="L43" t="s">
        <v>74</v>
      </c>
      <c r="M43" t="s">
        <v>74</v>
      </c>
      <c r="N43" t="s">
        <v>74</v>
      </c>
      <c r="O43" t="s">
        <v>74</v>
      </c>
      <c r="P43" t="s">
        <v>74</v>
      </c>
      <c r="Q43" t="s">
        <v>74</v>
      </c>
      <c r="R43" t="s">
        <v>74</v>
      </c>
      <c r="S43" t="s">
        <v>74</v>
      </c>
      <c r="T43" t="s">
        <v>74</v>
      </c>
      <c r="U43" t="s">
        <v>74</v>
      </c>
      <c r="V43" t="s">
        <v>1154</v>
      </c>
      <c r="W43" t="s">
        <v>74</v>
      </c>
      <c r="X43" t="s">
        <v>74</v>
      </c>
      <c r="Y43" t="s">
        <v>74</v>
      </c>
      <c r="Z43" t="s">
        <v>74</v>
      </c>
      <c r="AA43" t="s">
        <v>616</v>
      </c>
      <c r="AB43" t="s">
        <v>1155</v>
      </c>
      <c r="AC43" t="s">
        <v>74</v>
      </c>
      <c r="AD43" t="s">
        <v>74</v>
      </c>
      <c r="AE43" t="s">
        <v>74</v>
      </c>
      <c r="AF43" t="s">
        <v>74</v>
      </c>
      <c r="AG43" t="s">
        <v>74</v>
      </c>
      <c r="AH43" t="s">
        <v>74</v>
      </c>
      <c r="AI43" t="s">
        <v>74</v>
      </c>
      <c r="AJ43" t="s">
        <v>74</v>
      </c>
      <c r="AK43" t="s">
        <v>74</v>
      </c>
      <c r="AL43" t="s">
        <v>74</v>
      </c>
      <c r="AM43" t="s">
        <v>74</v>
      </c>
      <c r="AN43" t="s">
        <v>74</v>
      </c>
      <c r="AO43" t="s">
        <v>454</v>
      </c>
      <c r="AP43" t="s">
        <v>455</v>
      </c>
      <c r="AQ43" t="s">
        <v>74</v>
      </c>
      <c r="AR43" t="s">
        <v>74</v>
      </c>
      <c r="AS43" t="s">
        <v>74</v>
      </c>
      <c r="AT43" t="s">
        <v>74</v>
      </c>
      <c r="AU43">
        <v>2024</v>
      </c>
      <c r="AV43">
        <v>21</v>
      </c>
      <c r="AW43" t="s">
        <v>74</v>
      </c>
      <c r="AX43" t="s">
        <v>74</v>
      </c>
      <c r="AY43" t="s">
        <v>74</v>
      </c>
      <c r="AZ43" t="s">
        <v>74</v>
      </c>
      <c r="BA43" t="s">
        <v>74</v>
      </c>
      <c r="BB43" t="s">
        <v>74</v>
      </c>
      <c r="BC43" t="s">
        <v>74</v>
      </c>
      <c r="BD43">
        <v>2000605</v>
      </c>
      <c r="BE43" t="s">
        <v>1156</v>
      </c>
      <c r="BF43" t="str">
        <f>HYPERLINK("http://dx.doi.org/10.1109/LGRS.2024.3365792","http://dx.doi.org/10.1109/LGRS.2024.3365792")</f>
        <v>http://dx.doi.org/10.1109/LGRS.2024.3365792</v>
      </c>
      <c r="BG43" t="s">
        <v>74</v>
      </c>
      <c r="BH43" t="s">
        <v>74</v>
      </c>
      <c r="BI43" t="s">
        <v>74</v>
      </c>
      <c r="BJ43" t="s">
        <v>74</v>
      </c>
      <c r="BK43" t="s">
        <v>74</v>
      </c>
      <c r="BL43" t="s">
        <v>74</v>
      </c>
      <c r="BM43" t="s">
        <v>74</v>
      </c>
      <c r="BN43" t="s">
        <v>74</v>
      </c>
      <c r="BO43" t="s">
        <v>74</v>
      </c>
      <c r="BP43" t="s">
        <v>74</v>
      </c>
      <c r="BQ43" t="s">
        <v>74</v>
      </c>
      <c r="BR43" t="s">
        <v>74</v>
      </c>
      <c r="BS43" t="s">
        <v>1157</v>
      </c>
      <c r="BT43" t="str">
        <f>HYPERLINK("https%3A%2F%2Fwww.webofscience.com%2Fwos%2Fwoscc%2Ffull-record%2FWOS:001173135800020","View Full Record in Web of Science")</f>
        <v>View Full Record in Web of Science</v>
      </c>
    </row>
    <row r="44" spans="1:72" x14ac:dyDescent="0.15">
      <c r="A44" t="s">
        <v>72</v>
      </c>
      <c r="B44" t="s">
        <v>447</v>
      </c>
      <c r="C44" t="s">
        <v>74</v>
      </c>
      <c r="D44" t="s">
        <v>74</v>
      </c>
      <c r="E44" t="s">
        <v>74</v>
      </c>
      <c r="F44" t="s">
        <v>448</v>
      </c>
      <c r="G44" t="s">
        <v>74</v>
      </c>
      <c r="H44" t="s">
        <v>74</v>
      </c>
      <c r="I44" t="s">
        <v>449</v>
      </c>
      <c r="J44" t="s">
        <v>450</v>
      </c>
      <c r="K44" t="s">
        <v>74</v>
      </c>
      <c r="L44" t="s">
        <v>74</v>
      </c>
      <c r="M44" t="s">
        <v>74</v>
      </c>
      <c r="N44" t="s">
        <v>74</v>
      </c>
      <c r="O44" t="s">
        <v>74</v>
      </c>
      <c r="P44" t="s">
        <v>74</v>
      </c>
      <c r="Q44" t="s">
        <v>74</v>
      </c>
      <c r="R44" t="s">
        <v>74</v>
      </c>
      <c r="S44" t="s">
        <v>74</v>
      </c>
      <c r="T44" t="s">
        <v>74</v>
      </c>
      <c r="U44" t="s">
        <v>74</v>
      </c>
      <c r="V44" t="s">
        <v>451</v>
      </c>
      <c r="W44" t="s">
        <v>74</v>
      </c>
      <c r="X44" t="s">
        <v>74</v>
      </c>
      <c r="Y44" t="s">
        <v>74</v>
      </c>
      <c r="Z44" t="s">
        <v>74</v>
      </c>
      <c r="AA44" t="s">
        <v>452</v>
      </c>
      <c r="AB44" t="s">
        <v>453</v>
      </c>
      <c r="AC44" t="s">
        <v>74</v>
      </c>
      <c r="AD44" t="s">
        <v>74</v>
      </c>
      <c r="AE44" t="s">
        <v>74</v>
      </c>
      <c r="AF44" t="s">
        <v>74</v>
      </c>
      <c r="AG44" t="s">
        <v>74</v>
      </c>
      <c r="AH44" t="s">
        <v>74</v>
      </c>
      <c r="AI44" t="s">
        <v>74</v>
      </c>
      <c r="AJ44" t="s">
        <v>74</v>
      </c>
      <c r="AK44" t="s">
        <v>74</v>
      </c>
      <c r="AL44" t="s">
        <v>74</v>
      </c>
      <c r="AM44" t="s">
        <v>74</v>
      </c>
      <c r="AN44" t="s">
        <v>74</v>
      </c>
      <c r="AO44" t="s">
        <v>454</v>
      </c>
      <c r="AP44" t="s">
        <v>455</v>
      </c>
      <c r="AQ44" t="s">
        <v>74</v>
      </c>
      <c r="AR44" t="s">
        <v>74</v>
      </c>
      <c r="AS44" t="s">
        <v>74</v>
      </c>
      <c r="AT44" t="s">
        <v>74</v>
      </c>
      <c r="AU44">
        <v>2024</v>
      </c>
      <c r="AV44">
        <v>21</v>
      </c>
      <c r="AW44" t="s">
        <v>74</v>
      </c>
      <c r="AX44" t="s">
        <v>74</v>
      </c>
      <c r="AY44" t="s">
        <v>74</v>
      </c>
      <c r="AZ44" t="s">
        <v>74</v>
      </c>
      <c r="BA44" t="s">
        <v>74</v>
      </c>
      <c r="BB44" t="s">
        <v>74</v>
      </c>
      <c r="BC44" t="s">
        <v>74</v>
      </c>
      <c r="BD44">
        <v>4006905</v>
      </c>
      <c r="BE44" t="s">
        <v>456</v>
      </c>
      <c r="BF44" t="str">
        <f>HYPERLINK("http://dx.doi.org/10.1109/LGRS.2024.3379202","http://dx.doi.org/10.1109/LGRS.2024.3379202")</f>
        <v>http://dx.doi.org/10.1109/LGRS.2024.3379202</v>
      </c>
      <c r="BG44" t="s">
        <v>74</v>
      </c>
      <c r="BH44" t="s">
        <v>74</v>
      </c>
      <c r="BI44" t="s">
        <v>74</v>
      </c>
      <c r="BJ44" t="s">
        <v>74</v>
      </c>
      <c r="BK44" t="s">
        <v>74</v>
      </c>
      <c r="BL44" t="s">
        <v>74</v>
      </c>
      <c r="BM44" t="s">
        <v>74</v>
      </c>
      <c r="BN44" t="s">
        <v>74</v>
      </c>
      <c r="BO44" t="s">
        <v>74</v>
      </c>
      <c r="BP44" t="s">
        <v>74</v>
      </c>
      <c r="BQ44" t="s">
        <v>74</v>
      </c>
      <c r="BR44" t="s">
        <v>74</v>
      </c>
      <c r="BS44" t="s">
        <v>457</v>
      </c>
      <c r="BT44" t="str">
        <f>HYPERLINK("https%3A%2F%2Fwww.webofscience.com%2Fwos%2Fwoscc%2Ffull-record%2FWOS:001193984600023","View Full Record in Web of Science")</f>
        <v>View Full Record in Web of Science</v>
      </c>
    </row>
    <row r="45" spans="1:72" x14ac:dyDescent="0.15">
      <c r="A45" t="s">
        <v>72</v>
      </c>
      <c r="B45" t="s">
        <v>1158</v>
      </c>
      <c r="C45" t="s">
        <v>74</v>
      </c>
      <c r="D45" t="s">
        <v>74</v>
      </c>
      <c r="E45" t="s">
        <v>74</v>
      </c>
      <c r="F45" t="s">
        <v>1159</v>
      </c>
      <c r="G45" t="s">
        <v>74</v>
      </c>
      <c r="H45" t="s">
        <v>74</v>
      </c>
      <c r="I45" t="s">
        <v>1160</v>
      </c>
      <c r="J45" t="s">
        <v>287</v>
      </c>
      <c r="K45" t="s">
        <v>74</v>
      </c>
      <c r="L45" t="s">
        <v>74</v>
      </c>
      <c r="M45" t="s">
        <v>74</v>
      </c>
      <c r="N45" t="s">
        <v>74</v>
      </c>
      <c r="O45" t="s">
        <v>74</v>
      </c>
      <c r="P45" t="s">
        <v>74</v>
      </c>
      <c r="Q45" t="s">
        <v>74</v>
      </c>
      <c r="R45" t="s">
        <v>74</v>
      </c>
      <c r="S45" t="s">
        <v>74</v>
      </c>
      <c r="T45" t="s">
        <v>74</v>
      </c>
      <c r="U45" t="s">
        <v>74</v>
      </c>
      <c r="V45" t="s">
        <v>1161</v>
      </c>
      <c r="W45" t="s">
        <v>74</v>
      </c>
      <c r="X45" t="s">
        <v>74</v>
      </c>
      <c r="Y45" t="s">
        <v>74</v>
      </c>
      <c r="Z45" t="s">
        <v>74</v>
      </c>
      <c r="AA45" t="s">
        <v>616</v>
      </c>
      <c r="AB45" t="s">
        <v>74</v>
      </c>
      <c r="AC45" t="s">
        <v>74</v>
      </c>
      <c r="AD45" t="s">
        <v>74</v>
      </c>
      <c r="AE45" t="s">
        <v>74</v>
      </c>
      <c r="AF45" t="s">
        <v>74</v>
      </c>
      <c r="AG45" t="s">
        <v>74</v>
      </c>
      <c r="AH45" t="s">
        <v>74</v>
      </c>
      <c r="AI45" t="s">
        <v>74</v>
      </c>
      <c r="AJ45" t="s">
        <v>74</v>
      </c>
      <c r="AK45" t="s">
        <v>74</v>
      </c>
      <c r="AL45" t="s">
        <v>74</v>
      </c>
      <c r="AM45" t="s">
        <v>74</v>
      </c>
      <c r="AN45" t="s">
        <v>74</v>
      </c>
      <c r="AO45" t="s">
        <v>291</v>
      </c>
      <c r="AP45" t="s">
        <v>292</v>
      </c>
      <c r="AQ45" t="s">
        <v>74</v>
      </c>
      <c r="AR45" t="s">
        <v>74</v>
      </c>
      <c r="AS45" t="s">
        <v>74</v>
      </c>
      <c r="AT45" t="s">
        <v>293</v>
      </c>
      <c r="AU45">
        <v>2023</v>
      </c>
      <c r="AV45">
        <v>16</v>
      </c>
      <c r="AW45">
        <v>1</v>
      </c>
      <c r="AX45" t="s">
        <v>74</v>
      </c>
      <c r="AY45" t="s">
        <v>74</v>
      </c>
      <c r="AZ45" t="s">
        <v>74</v>
      </c>
      <c r="BA45" t="s">
        <v>74</v>
      </c>
      <c r="BB45">
        <v>1164</v>
      </c>
      <c r="BC45">
        <v>1185</v>
      </c>
      <c r="BD45" t="s">
        <v>74</v>
      </c>
      <c r="BE45" t="s">
        <v>1162</v>
      </c>
      <c r="BF45" t="str">
        <f>HYPERLINK("http://dx.doi.org/10.1080/17538947.2023.2196446","http://dx.doi.org/10.1080/17538947.2023.2196446")</f>
        <v>http://dx.doi.org/10.1080/17538947.2023.2196446</v>
      </c>
      <c r="BG45" t="s">
        <v>74</v>
      </c>
      <c r="BH45" t="s">
        <v>74</v>
      </c>
      <c r="BI45" t="s">
        <v>74</v>
      </c>
      <c r="BJ45" t="s">
        <v>74</v>
      </c>
      <c r="BK45" t="s">
        <v>74</v>
      </c>
      <c r="BL45" t="s">
        <v>74</v>
      </c>
      <c r="BM45" t="s">
        <v>74</v>
      </c>
      <c r="BN45" t="s">
        <v>74</v>
      </c>
      <c r="BO45" t="s">
        <v>74</v>
      </c>
      <c r="BP45" t="s">
        <v>74</v>
      </c>
      <c r="BQ45" t="s">
        <v>74</v>
      </c>
      <c r="BR45" t="s">
        <v>74</v>
      </c>
      <c r="BS45" t="s">
        <v>1163</v>
      </c>
      <c r="BT45" t="str">
        <f>HYPERLINK("https%3A%2F%2Fwww.webofscience.com%2Fwos%2Fwoscc%2Ffull-record%2FWOS:000965509400001","View Full Record in Web of Science")</f>
        <v>View Full Record in Web of Science</v>
      </c>
    </row>
    <row r="46" spans="1:72" x14ac:dyDescent="0.15">
      <c r="A46" t="s">
        <v>72</v>
      </c>
      <c r="B46" t="s">
        <v>1164</v>
      </c>
      <c r="C46" t="s">
        <v>74</v>
      </c>
      <c r="D46" t="s">
        <v>74</v>
      </c>
      <c r="E46" t="s">
        <v>74</v>
      </c>
      <c r="F46" t="s">
        <v>1165</v>
      </c>
      <c r="G46" t="s">
        <v>74</v>
      </c>
      <c r="H46" t="s">
        <v>74</v>
      </c>
      <c r="I46" t="s">
        <v>1166</v>
      </c>
      <c r="J46" t="s">
        <v>77</v>
      </c>
      <c r="K46" t="s">
        <v>74</v>
      </c>
      <c r="L46" t="s">
        <v>74</v>
      </c>
      <c r="M46" t="s">
        <v>74</v>
      </c>
      <c r="N46" t="s">
        <v>74</v>
      </c>
      <c r="O46" t="s">
        <v>74</v>
      </c>
      <c r="P46" t="s">
        <v>74</v>
      </c>
      <c r="Q46" t="s">
        <v>74</v>
      </c>
      <c r="R46" t="s">
        <v>74</v>
      </c>
      <c r="S46" t="s">
        <v>74</v>
      </c>
      <c r="T46" t="s">
        <v>74</v>
      </c>
      <c r="U46" t="s">
        <v>74</v>
      </c>
      <c r="V46" t="s">
        <v>1167</v>
      </c>
      <c r="W46" t="s">
        <v>74</v>
      </c>
      <c r="X46" t="s">
        <v>74</v>
      </c>
      <c r="Y46" t="s">
        <v>74</v>
      </c>
      <c r="Z46" t="s">
        <v>74</v>
      </c>
      <c r="AA46" t="s">
        <v>1168</v>
      </c>
      <c r="AB46" t="s">
        <v>1169</v>
      </c>
      <c r="AC46" t="s">
        <v>74</v>
      </c>
      <c r="AD46" t="s">
        <v>74</v>
      </c>
      <c r="AE46" t="s">
        <v>74</v>
      </c>
      <c r="AF46" t="s">
        <v>74</v>
      </c>
      <c r="AG46" t="s">
        <v>74</v>
      </c>
      <c r="AH46" t="s">
        <v>74</v>
      </c>
      <c r="AI46" t="s">
        <v>74</v>
      </c>
      <c r="AJ46" t="s">
        <v>74</v>
      </c>
      <c r="AK46" t="s">
        <v>74</v>
      </c>
      <c r="AL46" t="s">
        <v>74</v>
      </c>
      <c r="AM46" t="s">
        <v>74</v>
      </c>
      <c r="AN46" t="s">
        <v>74</v>
      </c>
      <c r="AO46" t="s">
        <v>79</v>
      </c>
      <c r="AP46" t="s">
        <v>80</v>
      </c>
      <c r="AQ46" t="s">
        <v>74</v>
      </c>
      <c r="AR46" t="s">
        <v>74</v>
      </c>
      <c r="AS46" t="s">
        <v>74</v>
      </c>
      <c r="AT46" t="s">
        <v>1170</v>
      </c>
      <c r="AU46">
        <v>2023</v>
      </c>
      <c r="AV46">
        <v>17</v>
      </c>
      <c r="AW46">
        <v>12</v>
      </c>
      <c r="AX46" t="s">
        <v>74</v>
      </c>
      <c r="AY46" t="s">
        <v>74</v>
      </c>
      <c r="AZ46" t="s">
        <v>74</v>
      </c>
      <c r="BA46" t="s">
        <v>74</v>
      </c>
      <c r="BB46">
        <v>5095</v>
      </c>
      <c r="BC46">
        <v>5130</v>
      </c>
      <c r="BD46" t="s">
        <v>74</v>
      </c>
      <c r="BE46" t="s">
        <v>1171</v>
      </c>
      <c r="BF46" t="str">
        <f>HYPERLINK("http://dx.doi.org/10.5194/tc-17-5095-2023","http://dx.doi.org/10.5194/tc-17-5095-2023")</f>
        <v>http://dx.doi.org/10.5194/tc-17-5095-2023</v>
      </c>
      <c r="BG46" t="s">
        <v>74</v>
      </c>
      <c r="BH46" t="s">
        <v>74</v>
      </c>
      <c r="BI46" t="s">
        <v>74</v>
      </c>
      <c r="BJ46" t="s">
        <v>74</v>
      </c>
      <c r="BK46" t="s">
        <v>74</v>
      </c>
      <c r="BL46" t="s">
        <v>74</v>
      </c>
      <c r="BM46" t="s">
        <v>74</v>
      </c>
      <c r="BN46" t="s">
        <v>74</v>
      </c>
      <c r="BO46" t="s">
        <v>74</v>
      </c>
      <c r="BP46" t="s">
        <v>74</v>
      </c>
      <c r="BQ46" t="s">
        <v>74</v>
      </c>
      <c r="BR46" t="s">
        <v>74</v>
      </c>
      <c r="BS46" t="s">
        <v>1172</v>
      </c>
      <c r="BT46" t="str">
        <f>HYPERLINK("https%3A%2F%2Fwww.webofscience.com%2Fwos%2Fwoscc%2Ffull-record%2FWOS:001168786600001","View Full Record in Web of Science")</f>
        <v>View Full Record in Web of Science</v>
      </c>
    </row>
    <row r="47" spans="1:72" x14ac:dyDescent="0.15">
      <c r="A47" t="s">
        <v>72</v>
      </c>
      <c r="B47" t="s">
        <v>1173</v>
      </c>
      <c r="C47" t="s">
        <v>74</v>
      </c>
      <c r="D47" t="s">
        <v>74</v>
      </c>
      <c r="E47" t="s">
        <v>74</v>
      </c>
      <c r="F47" t="s">
        <v>1174</v>
      </c>
      <c r="G47" t="s">
        <v>74</v>
      </c>
      <c r="H47" t="s">
        <v>74</v>
      </c>
      <c r="I47" t="s">
        <v>1175</v>
      </c>
      <c r="J47" t="s">
        <v>1176</v>
      </c>
      <c r="K47" t="s">
        <v>74</v>
      </c>
      <c r="L47" t="s">
        <v>74</v>
      </c>
      <c r="M47" t="s">
        <v>74</v>
      </c>
      <c r="N47" t="s">
        <v>74</v>
      </c>
      <c r="O47" t="s">
        <v>74</v>
      </c>
      <c r="P47" t="s">
        <v>74</v>
      </c>
      <c r="Q47" t="s">
        <v>74</v>
      </c>
      <c r="R47" t="s">
        <v>74</v>
      </c>
      <c r="S47" t="s">
        <v>74</v>
      </c>
      <c r="T47" t="s">
        <v>74</v>
      </c>
      <c r="U47" t="s">
        <v>74</v>
      </c>
      <c r="V47" t="s">
        <v>1177</v>
      </c>
      <c r="W47" t="s">
        <v>74</v>
      </c>
      <c r="X47" t="s">
        <v>74</v>
      </c>
      <c r="Y47" t="s">
        <v>74</v>
      </c>
      <c r="Z47" t="s">
        <v>74</v>
      </c>
      <c r="AA47" t="s">
        <v>1178</v>
      </c>
      <c r="AB47" t="s">
        <v>1179</v>
      </c>
      <c r="AC47" t="s">
        <v>74</v>
      </c>
      <c r="AD47" t="s">
        <v>74</v>
      </c>
      <c r="AE47" t="s">
        <v>74</v>
      </c>
      <c r="AF47" t="s">
        <v>74</v>
      </c>
      <c r="AG47" t="s">
        <v>74</v>
      </c>
      <c r="AH47" t="s">
        <v>74</v>
      </c>
      <c r="AI47" t="s">
        <v>74</v>
      </c>
      <c r="AJ47" t="s">
        <v>74</v>
      </c>
      <c r="AK47" t="s">
        <v>74</v>
      </c>
      <c r="AL47" t="s">
        <v>74</v>
      </c>
      <c r="AM47" t="s">
        <v>74</v>
      </c>
      <c r="AN47" t="s">
        <v>74</v>
      </c>
      <c r="AO47" t="s">
        <v>1180</v>
      </c>
      <c r="AP47" t="s">
        <v>1181</v>
      </c>
      <c r="AQ47" t="s">
        <v>74</v>
      </c>
      <c r="AR47" t="s">
        <v>74</v>
      </c>
      <c r="AS47" t="s">
        <v>74</v>
      </c>
      <c r="AT47" t="s">
        <v>177</v>
      </c>
      <c r="AU47">
        <v>2023</v>
      </c>
      <c r="AV47">
        <v>128</v>
      </c>
      <c r="AW47">
        <v>9</v>
      </c>
      <c r="AX47" t="s">
        <v>74</v>
      </c>
      <c r="AY47" t="s">
        <v>74</v>
      </c>
      <c r="AZ47" t="s">
        <v>74</v>
      </c>
      <c r="BA47" t="s">
        <v>74</v>
      </c>
      <c r="BB47" t="s">
        <v>74</v>
      </c>
      <c r="BC47" t="s">
        <v>74</v>
      </c>
      <c r="BD47" t="s">
        <v>1182</v>
      </c>
      <c r="BE47" t="s">
        <v>1183</v>
      </c>
      <c r="BF47" t="str">
        <f>HYPERLINK("http://dx.doi.org/10.1029/2023JF007294","http://dx.doi.org/10.1029/2023JF007294")</f>
        <v>http://dx.doi.org/10.1029/2023JF007294</v>
      </c>
      <c r="BG47" t="s">
        <v>74</v>
      </c>
      <c r="BH47" t="s">
        <v>74</v>
      </c>
      <c r="BI47" t="s">
        <v>74</v>
      </c>
      <c r="BJ47" t="s">
        <v>74</v>
      </c>
      <c r="BK47" t="s">
        <v>74</v>
      </c>
      <c r="BL47" t="s">
        <v>74</v>
      </c>
      <c r="BM47" t="s">
        <v>74</v>
      </c>
      <c r="BN47" t="s">
        <v>74</v>
      </c>
      <c r="BO47" t="s">
        <v>74</v>
      </c>
      <c r="BP47" t="s">
        <v>74</v>
      </c>
      <c r="BQ47" t="s">
        <v>74</v>
      </c>
      <c r="BR47" t="s">
        <v>74</v>
      </c>
      <c r="BS47" t="s">
        <v>1184</v>
      </c>
      <c r="BT47" t="str">
        <f>HYPERLINK("https%3A%2F%2Fwww.webofscience.com%2Fwos%2Fwoscc%2Ffull-record%2FWOS:001066231500001","View Full Record in Web of Science")</f>
        <v>View Full Record in Web of Science</v>
      </c>
    </row>
    <row r="48" spans="1:72" x14ac:dyDescent="0.15">
      <c r="A48" t="s">
        <v>72</v>
      </c>
      <c r="B48" t="s">
        <v>1185</v>
      </c>
      <c r="C48" t="s">
        <v>74</v>
      </c>
      <c r="D48" t="s">
        <v>74</v>
      </c>
      <c r="E48" t="s">
        <v>74</v>
      </c>
      <c r="F48" t="s">
        <v>1186</v>
      </c>
      <c r="G48" t="s">
        <v>74</v>
      </c>
      <c r="H48" t="s">
        <v>74</v>
      </c>
      <c r="I48" t="s">
        <v>1187</v>
      </c>
      <c r="J48" t="s">
        <v>135</v>
      </c>
      <c r="K48" t="s">
        <v>74</v>
      </c>
      <c r="L48" t="s">
        <v>74</v>
      </c>
      <c r="M48" t="s">
        <v>74</v>
      </c>
      <c r="N48" t="s">
        <v>74</v>
      </c>
      <c r="O48" t="s">
        <v>74</v>
      </c>
      <c r="P48" t="s">
        <v>74</v>
      </c>
      <c r="Q48" t="s">
        <v>74</v>
      </c>
      <c r="R48" t="s">
        <v>74</v>
      </c>
      <c r="S48" t="s">
        <v>74</v>
      </c>
      <c r="T48" t="s">
        <v>74</v>
      </c>
      <c r="U48" t="s">
        <v>74</v>
      </c>
      <c r="V48" t="s">
        <v>1188</v>
      </c>
      <c r="W48" t="s">
        <v>74</v>
      </c>
      <c r="X48" t="s">
        <v>74</v>
      </c>
      <c r="Y48" t="s">
        <v>74</v>
      </c>
      <c r="Z48" t="s">
        <v>74</v>
      </c>
      <c r="AA48" t="s">
        <v>74</v>
      </c>
      <c r="AB48" t="s">
        <v>74</v>
      </c>
      <c r="AC48" t="s">
        <v>74</v>
      </c>
      <c r="AD48" t="s">
        <v>74</v>
      </c>
      <c r="AE48" t="s">
        <v>74</v>
      </c>
      <c r="AF48" t="s">
        <v>74</v>
      </c>
      <c r="AG48" t="s">
        <v>74</v>
      </c>
      <c r="AH48" t="s">
        <v>74</v>
      </c>
      <c r="AI48" t="s">
        <v>74</v>
      </c>
      <c r="AJ48" t="s">
        <v>74</v>
      </c>
      <c r="AK48" t="s">
        <v>74</v>
      </c>
      <c r="AL48" t="s">
        <v>74</v>
      </c>
      <c r="AM48" t="s">
        <v>74</v>
      </c>
      <c r="AN48" t="s">
        <v>74</v>
      </c>
      <c r="AO48" t="s">
        <v>139</v>
      </c>
      <c r="AP48" t="s">
        <v>140</v>
      </c>
      <c r="AQ48" t="s">
        <v>74</v>
      </c>
      <c r="AR48" t="s">
        <v>74</v>
      </c>
      <c r="AS48" t="s">
        <v>74</v>
      </c>
      <c r="AT48" t="s">
        <v>1189</v>
      </c>
      <c r="AU48">
        <v>2023</v>
      </c>
      <c r="AV48" t="s">
        <v>74</v>
      </c>
      <c r="AW48" t="s">
        <v>74</v>
      </c>
      <c r="AX48" t="s">
        <v>74</v>
      </c>
      <c r="AY48" t="s">
        <v>74</v>
      </c>
      <c r="AZ48" t="s">
        <v>74</v>
      </c>
      <c r="BA48" t="s">
        <v>74</v>
      </c>
      <c r="BB48" t="s">
        <v>74</v>
      </c>
      <c r="BC48" t="s">
        <v>74</v>
      </c>
      <c r="BD48" t="s">
        <v>74</v>
      </c>
      <c r="BE48" t="s">
        <v>1190</v>
      </c>
      <c r="BF48" t="str">
        <f>HYPERLINK("http://dx.doi.org/10.1007/s12145-023-01077-6","http://dx.doi.org/10.1007/s12145-023-01077-6")</f>
        <v>http://dx.doi.org/10.1007/s12145-023-01077-6</v>
      </c>
      <c r="BG48" t="s">
        <v>74</v>
      </c>
      <c r="BH48" t="s">
        <v>1191</v>
      </c>
      <c r="BI48" t="s">
        <v>74</v>
      </c>
      <c r="BJ48" t="s">
        <v>74</v>
      </c>
      <c r="BK48" t="s">
        <v>74</v>
      </c>
      <c r="BL48" t="s">
        <v>74</v>
      </c>
      <c r="BM48" t="s">
        <v>74</v>
      </c>
      <c r="BN48" t="s">
        <v>74</v>
      </c>
      <c r="BO48" t="s">
        <v>74</v>
      </c>
      <c r="BP48" t="s">
        <v>74</v>
      </c>
      <c r="BQ48" t="s">
        <v>74</v>
      </c>
      <c r="BR48" t="s">
        <v>74</v>
      </c>
      <c r="BS48" t="s">
        <v>1192</v>
      </c>
      <c r="BT48" t="str">
        <f>HYPERLINK("https%3A%2F%2Fwww.webofscience.com%2Fwos%2Fwoscc%2Ffull-record%2FWOS:001048036100001","View Full Record in Web of Science")</f>
        <v>View Full Record in Web of Science</v>
      </c>
    </row>
    <row r="49" spans="1:72" x14ac:dyDescent="0.15">
      <c r="A49" t="s">
        <v>72</v>
      </c>
      <c r="B49" t="s">
        <v>1193</v>
      </c>
      <c r="C49" t="s">
        <v>74</v>
      </c>
      <c r="D49" t="s">
        <v>74</v>
      </c>
      <c r="E49" t="s">
        <v>74</v>
      </c>
      <c r="F49" t="s">
        <v>1194</v>
      </c>
      <c r="G49" t="s">
        <v>74</v>
      </c>
      <c r="H49" t="s">
        <v>74</v>
      </c>
      <c r="I49" t="s">
        <v>1195</v>
      </c>
      <c r="J49" t="s">
        <v>147</v>
      </c>
      <c r="K49" t="s">
        <v>74</v>
      </c>
      <c r="L49" t="s">
        <v>74</v>
      </c>
      <c r="M49" t="s">
        <v>74</v>
      </c>
      <c r="N49" t="s">
        <v>74</v>
      </c>
      <c r="O49" t="s">
        <v>74</v>
      </c>
      <c r="P49" t="s">
        <v>74</v>
      </c>
      <c r="Q49" t="s">
        <v>74</v>
      </c>
      <c r="R49" t="s">
        <v>74</v>
      </c>
      <c r="S49" t="s">
        <v>74</v>
      </c>
      <c r="T49" t="s">
        <v>74</v>
      </c>
      <c r="U49" t="s">
        <v>74</v>
      </c>
      <c r="V49" t="s">
        <v>1196</v>
      </c>
      <c r="W49" t="s">
        <v>74</v>
      </c>
      <c r="X49" t="s">
        <v>74</v>
      </c>
      <c r="Y49" t="s">
        <v>74</v>
      </c>
      <c r="Z49" t="s">
        <v>74</v>
      </c>
      <c r="AA49" t="s">
        <v>1197</v>
      </c>
      <c r="AB49" t="s">
        <v>1198</v>
      </c>
      <c r="AC49" t="s">
        <v>74</v>
      </c>
      <c r="AD49" t="s">
        <v>74</v>
      </c>
      <c r="AE49" t="s">
        <v>74</v>
      </c>
      <c r="AF49" t="s">
        <v>74</v>
      </c>
      <c r="AG49" t="s">
        <v>74</v>
      </c>
      <c r="AH49" t="s">
        <v>74</v>
      </c>
      <c r="AI49" t="s">
        <v>74</v>
      </c>
      <c r="AJ49" t="s">
        <v>74</v>
      </c>
      <c r="AK49" t="s">
        <v>74</v>
      </c>
      <c r="AL49" t="s">
        <v>74</v>
      </c>
      <c r="AM49" t="s">
        <v>74</v>
      </c>
      <c r="AN49" t="s">
        <v>74</v>
      </c>
      <c r="AO49" t="s">
        <v>74</v>
      </c>
      <c r="AP49" t="s">
        <v>151</v>
      </c>
      <c r="AQ49" t="s">
        <v>74</v>
      </c>
      <c r="AR49" t="s">
        <v>74</v>
      </c>
      <c r="AS49" t="s">
        <v>74</v>
      </c>
      <c r="AT49" t="s">
        <v>1199</v>
      </c>
      <c r="AU49">
        <v>2023</v>
      </c>
      <c r="AV49">
        <v>15</v>
      </c>
      <c r="AW49">
        <v>10</v>
      </c>
      <c r="AX49" t="s">
        <v>74</v>
      </c>
      <c r="AY49" t="s">
        <v>74</v>
      </c>
      <c r="AZ49" t="s">
        <v>74</v>
      </c>
      <c r="BA49" t="s">
        <v>74</v>
      </c>
      <c r="BB49" t="s">
        <v>74</v>
      </c>
      <c r="BC49" t="s">
        <v>74</v>
      </c>
      <c r="BD49">
        <v>2670</v>
      </c>
      <c r="BE49" t="s">
        <v>1200</v>
      </c>
      <c r="BF49" t="str">
        <f>HYPERLINK("http://dx.doi.org/10.3390/rs15102670","http://dx.doi.org/10.3390/rs15102670")</f>
        <v>http://dx.doi.org/10.3390/rs15102670</v>
      </c>
      <c r="BG49" t="s">
        <v>74</v>
      </c>
      <c r="BH49" t="s">
        <v>74</v>
      </c>
      <c r="BI49" t="s">
        <v>74</v>
      </c>
      <c r="BJ49" t="s">
        <v>74</v>
      </c>
      <c r="BK49" t="s">
        <v>74</v>
      </c>
      <c r="BL49" t="s">
        <v>74</v>
      </c>
      <c r="BM49" t="s">
        <v>74</v>
      </c>
      <c r="BN49" t="s">
        <v>74</v>
      </c>
      <c r="BO49" t="s">
        <v>74</v>
      </c>
      <c r="BP49" t="s">
        <v>74</v>
      </c>
      <c r="BQ49" t="s">
        <v>74</v>
      </c>
      <c r="BR49" t="s">
        <v>74</v>
      </c>
      <c r="BS49" t="s">
        <v>1201</v>
      </c>
      <c r="BT49" t="str">
        <f>HYPERLINK("https%3A%2F%2Fwww.webofscience.com%2Fwos%2Fwoscc%2Ffull-record%2FWOS:000997120200001","View Full Record in Web of Science")</f>
        <v>View Full Record in Web of Science</v>
      </c>
    </row>
    <row r="50" spans="1:72" x14ac:dyDescent="0.15">
      <c r="A50" t="s">
        <v>72</v>
      </c>
      <c r="B50" t="s">
        <v>1202</v>
      </c>
      <c r="C50" t="s">
        <v>74</v>
      </c>
      <c r="D50" t="s">
        <v>74</v>
      </c>
      <c r="E50" t="s">
        <v>74</v>
      </c>
      <c r="F50" t="s">
        <v>1203</v>
      </c>
      <c r="G50" t="s">
        <v>74</v>
      </c>
      <c r="H50" t="s">
        <v>74</v>
      </c>
      <c r="I50" t="s">
        <v>1204</v>
      </c>
      <c r="J50" t="s">
        <v>982</v>
      </c>
      <c r="K50" t="s">
        <v>74</v>
      </c>
      <c r="L50" t="s">
        <v>74</v>
      </c>
      <c r="M50" t="s">
        <v>74</v>
      </c>
      <c r="N50" t="s">
        <v>74</v>
      </c>
      <c r="O50" t="s">
        <v>74</v>
      </c>
      <c r="P50" t="s">
        <v>74</v>
      </c>
      <c r="Q50" t="s">
        <v>74</v>
      </c>
      <c r="R50" t="s">
        <v>74</v>
      </c>
      <c r="S50" t="s">
        <v>74</v>
      </c>
      <c r="T50" t="s">
        <v>74</v>
      </c>
      <c r="U50" t="s">
        <v>74</v>
      </c>
      <c r="V50" t="s">
        <v>1205</v>
      </c>
      <c r="W50" t="s">
        <v>74</v>
      </c>
      <c r="X50" t="s">
        <v>74</v>
      </c>
      <c r="Y50" t="s">
        <v>74</v>
      </c>
      <c r="Z50" t="s">
        <v>74</v>
      </c>
      <c r="AA50" t="s">
        <v>1206</v>
      </c>
      <c r="AB50" t="s">
        <v>1207</v>
      </c>
      <c r="AC50" t="s">
        <v>74</v>
      </c>
      <c r="AD50" t="s">
        <v>74</v>
      </c>
      <c r="AE50" t="s">
        <v>74</v>
      </c>
      <c r="AF50" t="s">
        <v>74</v>
      </c>
      <c r="AG50" t="s">
        <v>74</v>
      </c>
      <c r="AH50" t="s">
        <v>74</v>
      </c>
      <c r="AI50" t="s">
        <v>74</v>
      </c>
      <c r="AJ50" t="s">
        <v>74</v>
      </c>
      <c r="AK50" t="s">
        <v>74</v>
      </c>
      <c r="AL50" t="s">
        <v>74</v>
      </c>
      <c r="AM50" t="s">
        <v>74</v>
      </c>
      <c r="AN50" t="s">
        <v>74</v>
      </c>
      <c r="AO50" t="s">
        <v>985</v>
      </c>
      <c r="AP50" t="s">
        <v>986</v>
      </c>
      <c r="AQ50" t="s">
        <v>74</v>
      </c>
      <c r="AR50" t="s">
        <v>74</v>
      </c>
      <c r="AS50" t="s">
        <v>74</v>
      </c>
      <c r="AT50" t="s">
        <v>1208</v>
      </c>
      <c r="AU50">
        <v>2023</v>
      </c>
      <c r="AV50">
        <v>197</v>
      </c>
      <c r="AW50" t="s">
        <v>74</v>
      </c>
      <c r="AX50" t="s">
        <v>74</v>
      </c>
      <c r="AY50" t="s">
        <v>74</v>
      </c>
      <c r="AZ50" t="s">
        <v>74</v>
      </c>
      <c r="BA50" t="s">
        <v>74</v>
      </c>
      <c r="BB50">
        <v>105</v>
      </c>
      <c r="BC50">
        <v>121</v>
      </c>
      <c r="BD50" t="s">
        <v>74</v>
      </c>
      <c r="BE50" t="s">
        <v>1209</v>
      </c>
      <c r="BF50" t="str">
        <f>HYPERLINK("http://dx.doi.org/10.1016/j.isprsjprs.2023.01.017","http://dx.doi.org/10.1016/j.isprsjprs.2023.01.017")</f>
        <v>http://dx.doi.org/10.1016/j.isprsjprs.2023.01.017</v>
      </c>
      <c r="BG50" t="s">
        <v>74</v>
      </c>
      <c r="BH50" t="s">
        <v>1210</v>
      </c>
      <c r="BI50" t="s">
        <v>74</v>
      </c>
      <c r="BJ50" t="s">
        <v>74</v>
      </c>
      <c r="BK50" t="s">
        <v>74</v>
      </c>
      <c r="BL50" t="s">
        <v>74</v>
      </c>
      <c r="BM50" t="s">
        <v>74</v>
      </c>
      <c r="BN50" t="s">
        <v>74</v>
      </c>
      <c r="BO50" t="s">
        <v>74</v>
      </c>
      <c r="BP50" t="s">
        <v>74</v>
      </c>
      <c r="BQ50" t="s">
        <v>74</v>
      </c>
      <c r="BR50" t="s">
        <v>74</v>
      </c>
      <c r="BS50" t="s">
        <v>1211</v>
      </c>
      <c r="BT50" t="str">
        <f>HYPERLINK("https%3A%2F%2Fwww.webofscience.com%2Fwos%2Fwoscc%2Ffull-record%2FWOS:000931155100001","View Full Record in Web of Science")</f>
        <v>View Full Record in Web of Science</v>
      </c>
    </row>
    <row r="51" spans="1:72" x14ac:dyDescent="0.15">
      <c r="A51" t="s">
        <v>72</v>
      </c>
      <c r="B51" t="s">
        <v>1212</v>
      </c>
      <c r="C51" t="s">
        <v>74</v>
      </c>
      <c r="D51" t="s">
        <v>74</v>
      </c>
      <c r="E51" t="s">
        <v>74</v>
      </c>
      <c r="F51" t="s">
        <v>1213</v>
      </c>
      <c r="G51" t="s">
        <v>74</v>
      </c>
      <c r="H51" t="s">
        <v>74</v>
      </c>
      <c r="I51" t="s">
        <v>1214</v>
      </c>
      <c r="J51" t="s">
        <v>147</v>
      </c>
      <c r="K51" t="s">
        <v>74</v>
      </c>
      <c r="L51" t="s">
        <v>74</v>
      </c>
      <c r="M51" t="s">
        <v>74</v>
      </c>
      <c r="N51" t="s">
        <v>74</v>
      </c>
      <c r="O51" t="s">
        <v>74</v>
      </c>
      <c r="P51" t="s">
        <v>74</v>
      </c>
      <c r="Q51" t="s">
        <v>74</v>
      </c>
      <c r="R51" t="s">
        <v>74</v>
      </c>
      <c r="S51" t="s">
        <v>74</v>
      </c>
      <c r="T51" t="s">
        <v>74</v>
      </c>
      <c r="U51" t="s">
        <v>74</v>
      </c>
      <c r="V51" t="s">
        <v>1215</v>
      </c>
      <c r="W51" t="s">
        <v>74</v>
      </c>
      <c r="X51" t="s">
        <v>74</v>
      </c>
      <c r="Y51" t="s">
        <v>74</v>
      </c>
      <c r="Z51" t="s">
        <v>74</v>
      </c>
      <c r="AA51" t="s">
        <v>74</v>
      </c>
      <c r="AB51" t="s">
        <v>1216</v>
      </c>
      <c r="AC51" t="s">
        <v>74</v>
      </c>
      <c r="AD51" t="s">
        <v>74</v>
      </c>
      <c r="AE51" t="s">
        <v>74</v>
      </c>
      <c r="AF51" t="s">
        <v>74</v>
      </c>
      <c r="AG51" t="s">
        <v>74</v>
      </c>
      <c r="AH51" t="s">
        <v>74</v>
      </c>
      <c r="AI51" t="s">
        <v>74</v>
      </c>
      <c r="AJ51" t="s">
        <v>74</v>
      </c>
      <c r="AK51" t="s">
        <v>74</v>
      </c>
      <c r="AL51" t="s">
        <v>74</v>
      </c>
      <c r="AM51" t="s">
        <v>74</v>
      </c>
      <c r="AN51" t="s">
        <v>74</v>
      </c>
      <c r="AO51" t="s">
        <v>74</v>
      </c>
      <c r="AP51" t="s">
        <v>151</v>
      </c>
      <c r="AQ51" t="s">
        <v>74</v>
      </c>
      <c r="AR51" t="s">
        <v>74</v>
      </c>
      <c r="AS51" t="s">
        <v>74</v>
      </c>
      <c r="AT51" t="s">
        <v>311</v>
      </c>
      <c r="AU51">
        <v>2023</v>
      </c>
      <c r="AV51">
        <v>15</v>
      </c>
      <c r="AW51">
        <v>3</v>
      </c>
      <c r="AX51" t="s">
        <v>74</v>
      </c>
      <c r="AY51" t="s">
        <v>74</v>
      </c>
      <c r="AZ51" t="s">
        <v>74</v>
      </c>
      <c r="BA51" t="s">
        <v>74</v>
      </c>
      <c r="BB51" t="s">
        <v>74</v>
      </c>
      <c r="BC51" t="s">
        <v>74</v>
      </c>
      <c r="BD51">
        <v>775</v>
      </c>
      <c r="BE51" t="s">
        <v>1217</v>
      </c>
      <c r="BF51" t="str">
        <f>HYPERLINK("http://dx.doi.org/10.3390/rs15030775","http://dx.doi.org/10.3390/rs15030775")</f>
        <v>http://dx.doi.org/10.3390/rs15030775</v>
      </c>
      <c r="BG51" t="s">
        <v>74</v>
      </c>
      <c r="BH51" t="s">
        <v>74</v>
      </c>
      <c r="BI51" t="s">
        <v>74</v>
      </c>
      <c r="BJ51" t="s">
        <v>74</v>
      </c>
      <c r="BK51" t="s">
        <v>74</v>
      </c>
      <c r="BL51" t="s">
        <v>74</v>
      </c>
      <c r="BM51" t="s">
        <v>74</v>
      </c>
      <c r="BN51" t="s">
        <v>74</v>
      </c>
      <c r="BO51" t="s">
        <v>74</v>
      </c>
      <c r="BP51" t="s">
        <v>74</v>
      </c>
      <c r="BQ51" t="s">
        <v>74</v>
      </c>
      <c r="BR51" t="s">
        <v>74</v>
      </c>
      <c r="BS51" t="s">
        <v>1218</v>
      </c>
      <c r="BT51" t="str">
        <f>HYPERLINK("https%3A%2F%2Fwww.webofscience.com%2Fwos%2Fwoscc%2Ffull-record%2FWOS:000930208800001","View Full Record in Web of Science")</f>
        <v>View Full Record in Web of Science</v>
      </c>
    </row>
    <row r="52" spans="1:72" x14ac:dyDescent="0.15">
      <c r="A52" t="s">
        <v>72</v>
      </c>
      <c r="B52" t="s">
        <v>1219</v>
      </c>
      <c r="C52" t="s">
        <v>74</v>
      </c>
      <c r="D52" t="s">
        <v>74</v>
      </c>
      <c r="E52" t="s">
        <v>74</v>
      </c>
      <c r="F52" t="s">
        <v>1220</v>
      </c>
      <c r="G52" t="s">
        <v>74</v>
      </c>
      <c r="H52" t="s">
        <v>74</v>
      </c>
      <c r="I52" t="s">
        <v>1221</v>
      </c>
      <c r="J52" t="s">
        <v>147</v>
      </c>
      <c r="K52" t="s">
        <v>74</v>
      </c>
      <c r="L52" t="s">
        <v>74</v>
      </c>
      <c r="M52" t="s">
        <v>74</v>
      </c>
      <c r="N52" t="s">
        <v>74</v>
      </c>
      <c r="O52" t="s">
        <v>74</v>
      </c>
      <c r="P52" t="s">
        <v>74</v>
      </c>
      <c r="Q52" t="s">
        <v>74</v>
      </c>
      <c r="R52" t="s">
        <v>74</v>
      </c>
      <c r="S52" t="s">
        <v>74</v>
      </c>
      <c r="T52" t="s">
        <v>74</v>
      </c>
      <c r="U52" t="s">
        <v>74</v>
      </c>
      <c r="V52" t="s">
        <v>1222</v>
      </c>
      <c r="W52" t="s">
        <v>74</v>
      </c>
      <c r="X52" t="s">
        <v>74</v>
      </c>
      <c r="Y52" t="s">
        <v>74</v>
      </c>
      <c r="Z52" t="s">
        <v>74</v>
      </c>
      <c r="AA52" t="s">
        <v>1223</v>
      </c>
      <c r="AB52" t="s">
        <v>1224</v>
      </c>
      <c r="AC52" t="s">
        <v>74</v>
      </c>
      <c r="AD52" t="s">
        <v>74</v>
      </c>
      <c r="AE52" t="s">
        <v>74</v>
      </c>
      <c r="AF52" t="s">
        <v>74</v>
      </c>
      <c r="AG52" t="s">
        <v>74</v>
      </c>
      <c r="AH52" t="s">
        <v>74</v>
      </c>
      <c r="AI52" t="s">
        <v>74</v>
      </c>
      <c r="AJ52" t="s">
        <v>74</v>
      </c>
      <c r="AK52" t="s">
        <v>74</v>
      </c>
      <c r="AL52" t="s">
        <v>74</v>
      </c>
      <c r="AM52" t="s">
        <v>74</v>
      </c>
      <c r="AN52" t="s">
        <v>74</v>
      </c>
      <c r="AO52" t="s">
        <v>74</v>
      </c>
      <c r="AP52" t="s">
        <v>151</v>
      </c>
      <c r="AQ52" t="s">
        <v>74</v>
      </c>
      <c r="AR52" t="s">
        <v>74</v>
      </c>
      <c r="AS52" t="s">
        <v>74</v>
      </c>
      <c r="AT52" t="s">
        <v>311</v>
      </c>
      <c r="AU52">
        <v>2023</v>
      </c>
      <c r="AV52">
        <v>15</v>
      </c>
      <c r="AW52">
        <v>4</v>
      </c>
      <c r="AX52" t="s">
        <v>74</v>
      </c>
      <c r="AY52" t="s">
        <v>74</v>
      </c>
      <c r="AZ52" t="s">
        <v>74</v>
      </c>
      <c r="BA52" t="s">
        <v>74</v>
      </c>
      <c r="BB52" t="s">
        <v>74</v>
      </c>
      <c r="BC52" t="s">
        <v>74</v>
      </c>
      <c r="BD52">
        <v>1052</v>
      </c>
      <c r="BE52" t="s">
        <v>1225</v>
      </c>
      <c r="BF52" t="str">
        <f>HYPERLINK("http://dx.doi.org/10.3390/rs15041052","http://dx.doi.org/10.3390/rs15041052")</f>
        <v>http://dx.doi.org/10.3390/rs15041052</v>
      </c>
      <c r="BG52" t="s">
        <v>74</v>
      </c>
      <c r="BH52" t="s">
        <v>74</v>
      </c>
      <c r="BI52" t="s">
        <v>74</v>
      </c>
      <c r="BJ52" t="s">
        <v>74</v>
      </c>
      <c r="BK52" t="s">
        <v>74</v>
      </c>
      <c r="BL52" t="s">
        <v>74</v>
      </c>
      <c r="BM52" t="s">
        <v>74</v>
      </c>
      <c r="BN52" t="s">
        <v>74</v>
      </c>
      <c r="BO52" t="s">
        <v>74</v>
      </c>
      <c r="BP52" t="s">
        <v>74</v>
      </c>
      <c r="BQ52" t="s">
        <v>74</v>
      </c>
      <c r="BR52" t="s">
        <v>74</v>
      </c>
      <c r="BS52" t="s">
        <v>1226</v>
      </c>
      <c r="BT52" t="str">
        <f>HYPERLINK("https%3A%2F%2Fwww.webofscience.com%2Fwos%2Fwoscc%2Ffull-record%2FWOS:000941731300001","View Full Record in Web of Science")</f>
        <v>View Full Record in Web of Science</v>
      </c>
    </row>
    <row r="53" spans="1:72" x14ac:dyDescent="0.15">
      <c r="A53" t="s">
        <v>252</v>
      </c>
      <c r="B53" t="s">
        <v>489</v>
      </c>
      <c r="C53" t="s">
        <v>74</v>
      </c>
      <c r="D53" t="s">
        <v>74</v>
      </c>
      <c r="E53" t="s">
        <v>254</v>
      </c>
      <c r="F53" t="s">
        <v>490</v>
      </c>
      <c r="G53" t="s">
        <v>74</v>
      </c>
      <c r="H53" t="s">
        <v>74</v>
      </c>
      <c r="I53" t="s">
        <v>491</v>
      </c>
      <c r="J53" t="s">
        <v>492</v>
      </c>
      <c r="K53" t="s">
        <v>258</v>
      </c>
      <c r="L53" t="s">
        <v>74</v>
      </c>
      <c r="M53" t="s">
        <v>74</v>
      </c>
      <c r="N53" t="s">
        <v>74</v>
      </c>
      <c r="O53" t="s">
        <v>388</v>
      </c>
      <c r="P53" t="s">
        <v>493</v>
      </c>
      <c r="Q53" t="s">
        <v>494</v>
      </c>
      <c r="R53" t="s">
        <v>495</v>
      </c>
      <c r="S53" t="s">
        <v>74</v>
      </c>
      <c r="T53" t="s">
        <v>74</v>
      </c>
      <c r="U53" t="s">
        <v>74</v>
      </c>
      <c r="V53" t="s">
        <v>496</v>
      </c>
      <c r="W53" t="s">
        <v>74</v>
      </c>
      <c r="X53" t="s">
        <v>74</v>
      </c>
      <c r="Y53" t="s">
        <v>74</v>
      </c>
      <c r="Z53" t="s">
        <v>74</v>
      </c>
      <c r="AA53" t="s">
        <v>497</v>
      </c>
      <c r="AB53" t="s">
        <v>498</v>
      </c>
      <c r="AC53" t="s">
        <v>74</v>
      </c>
      <c r="AD53" t="s">
        <v>74</v>
      </c>
      <c r="AE53" t="s">
        <v>74</v>
      </c>
      <c r="AF53" t="s">
        <v>74</v>
      </c>
      <c r="AG53" t="s">
        <v>74</v>
      </c>
      <c r="AH53" t="s">
        <v>74</v>
      </c>
      <c r="AI53" t="s">
        <v>74</v>
      </c>
      <c r="AJ53" t="s">
        <v>74</v>
      </c>
      <c r="AK53" t="s">
        <v>74</v>
      </c>
      <c r="AL53" t="s">
        <v>74</v>
      </c>
      <c r="AM53" t="s">
        <v>74</v>
      </c>
      <c r="AN53" t="s">
        <v>74</v>
      </c>
      <c r="AO53" t="s">
        <v>265</v>
      </c>
      <c r="AP53" t="s">
        <v>74</v>
      </c>
      <c r="AQ53" t="s">
        <v>499</v>
      </c>
      <c r="AR53" t="s">
        <v>74</v>
      </c>
      <c r="AS53" t="s">
        <v>74</v>
      </c>
      <c r="AT53" t="s">
        <v>74</v>
      </c>
      <c r="AU53">
        <v>2023</v>
      </c>
      <c r="AV53" t="s">
        <v>74</v>
      </c>
      <c r="AW53" t="s">
        <v>74</v>
      </c>
      <c r="AX53" t="s">
        <v>74</v>
      </c>
      <c r="AY53" t="s">
        <v>74</v>
      </c>
      <c r="AZ53" t="s">
        <v>74</v>
      </c>
      <c r="BA53" t="s">
        <v>74</v>
      </c>
      <c r="BB53">
        <v>5351</v>
      </c>
      <c r="BC53">
        <v>5354</v>
      </c>
      <c r="BD53" t="s">
        <v>74</v>
      </c>
      <c r="BE53" t="s">
        <v>500</v>
      </c>
      <c r="BF53" t="str">
        <f>HYPERLINK("http://dx.doi.org/10.1109/IGARSS52108.2023.10281833","http://dx.doi.org/10.1109/IGARSS52108.2023.10281833")</f>
        <v>http://dx.doi.org/10.1109/IGARSS52108.2023.10281833</v>
      </c>
      <c r="BG53" t="s">
        <v>74</v>
      </c>
      <c r="BH53" t="s">
        <v>74</v>
      </c>
      <c r="BI53" t="s">
        <v>74</v>
      </c>
      <c r="BJ53" t="s">
        <v>74</v>
      </c>
      <c r="BK53" t="s">
        <v>74</v>
      </c>
      <c r="BL53" t="s">
        <v>74</v>
      </c>
      <c r="BM53" t="s">
        <v>74</v>
      </c>
      <c r="BN53" t="s">
        <v>74</v>
      </c>
      <c r="BO53" t="s">
        <v>74</v>
      </c>
      <c r="BP53" t="s">
        <v>74</v>
      </c>
      <c r="BQ53" t="s">
        <v>74</v>
      </c>
      <c r="BR53" t="s">
        <v>74</v>
      </c>
      <c r="BS53" t="s">
        <v>501</v>
      </c>
      <c r="BT53" t="str">
        <f>HYPERLINK("https%3A%2F%2Fwww.webofscience.com%2Fwos%2Fwoscc%2Ffull-record%2FWOS:001098971605133","View Full Record in Web of Science")</f>
        <v>View Full Record in Web of Science</v>
      </c>
    </row>
    <row r="54" spans="1:72" x14ac:dyDescent="0.15">
      <c r="A54" t="s">
        <v>72</v>
      </c>
      <c r="B54" t="s">
        <v>516</v>
      </c>
      <c r="C54" t="s">
        <v>74</v>
      </c>
      <c r="D54" t="s">
        <v>74</v>
      </c>
      <c r="E54" t="s">
        <v>74</v>
      </c>
      <c r="F54" t="s">
        <v>517</v>
      </c>
      <c r="G54" t="s">
        <v>74</v>
      </c>
      <c r="H54" t="s">
        <v>74</v>
      </c>
      <c r="I54" t="s">
        <v>518</v>
      </c>
      <c r="J54" t="s">
        <v>244</v>
      </c>
      <c r="K54" t="s">
        <v>74</v>
      </c>
      <c r="L54" t="s">
        <v>74</v>
      </c>
      <c r="M54" t="s">
        <v>74</v>
      </c>
      <c r="N54" t="s">
        <v>74</v>
      </c>
      <c r="O54" t="s">
        <v>74</v>
      </c>
      <c r="P54" t="s">
        <v>74</v>
      </c>
      <c r="Q54" t="s">
        <v>74</v>
      </c>
      <c r="R54" t="s">
        <v>74</v>
      </c>
      <c r="S54" t="s">
        <v>74</v>
      </c>
      <c r="T54" t="s">
        <v>74</v>
      </c>
      <c r="U54" t="s">
        <v>74</v>
      </c>
      <c r="V54" t="s">
        <v>519</v>
      </c>
      <c r="W54" t="s">
        <v>74</v>
      </c>
      <c r="X54" t="s">
        <v>74</v>
      </c>
      <c r="Y54" t="s">
        <v>74</v>
      </c>
      <c r="Z54" t="s">
        <v>74</v>
      </c>
      <c r="AA54" t="s">
        <v>520</v>
      </c>
      <c r="AB54" t="s">
        <v>521</v>
      </c>
      <c r="AC54" t="s">
        <v>74</v>
      </c>
      <c r="AD54" t="s">
        <v>74</v>
      </c>
      <c r="AE54" t="s">
        <v>74</v>
      </c>
      <c r="AF54" t="s">
        <v>74</v>
      </c>
      <c r="AG54" t="s">
        <v>74</v>
      </c>
      <c r="AH54" t="s">
        <v>74</v>
      </c>
      <c r="AI54" t="s">
        <v>74</v>
      </c>
      <c r="AJ54" t="s">
        <v>74</v>
      </c>
      <c r="AK54" t="s">
        <v>74</v>
      </c>
      <c r="AL54" t="s">
        <v>74</v>
      </c>
      <c r="AM54" t="s">
        <v>74</v>
      </c>
      <c r="AN54" t="s">
        <v>74</v>
      </c>
      <c r="AO54" t="s">
        <v>248</v>
      </c>
      <c r="AP54" t="s">
        <v>249</v>
      </c>
      <c r="AQ54" t="s">
        <v>74</v>
      </c>
      <c r="AR54" t="s">
        <v>74</v>
      </c>
      <c r="AS54" t="s">
        <v>74</v>
      </c>
      <c r="AT54" t="s">
        <v>74</v>
      </c>
      <c r="AU54">
        <v>2023</v>
      </c>
      <c r="AV54">
        <v>16</v>
      </c>
      <c r="AW54" t="s">
        <v>74</v>
      </c>
      <c r="AX54" t="s">
        <v>74</v>
      </c>
      <c r="AY54" t="s">
        <v>74</v>
      </c>
      <c r="AZ54" t="s">
        <v>74</v>
      </c>
      <c r="BA54" t="s">
        <v>74</v>
      </c>
      <c r="BB54">
        <v>6007</v>
      </c>
      <c r="BC54">
        <v>6025</v>
      </c>
      <c r="BD54" t="s">
        <v>74</v>
      </c>
      <c r="BE54" t="s">
        <v>522</v>
      </c>
      <c r="BF54" t="str">
        <f>HYPERLINK("http://dx.doi.org/10.1109/JSTARS.2023.3287410","http://dx.doi.org/10.1109/JSTARS.2023.3287410")</f>
        <v>http://dx.doi.org/10.1109/JSTARS.2023.3287410</v>
      </c>
      <c r="BG54" t="s">
        <v>74</v>
      </c>
      <c r="BH54" t="s">
        <v>74</v>
      </c>
      <c r="BI54" t="s">
        <v>74</v>
      </c>
      <c r="BJ54" t="s">
        <v>74</v>
      </c>
      <c r="BK54" t="s">
        <v>74</v>
      </c>
      <c r="BL54" t="s">
        <v>74</v>
      </c>
      <c r="BM54" t="s">
        <v>74</v>
      </c>
      <c r="BN54" t="s">
        <v>74</v>
      </c>
      <c r="BO54" t="s">
        <v>74</v>
      </c>
      <c r="BP54" t="s">
        <v>74</v>
      </c>
      <c r="BQ54" t="s">
        <v>74</v>
      </c>
      <c r="BR54" t="s">
        <v>74</v>
      </c>
      <c r="BS54" t="s">
        <v>523</v>
      </c>
      <c r="BT54" t="str">
        <f>HYPERLINK("https%3A%2F%2Fwww.webofscience.com%2Fwos%2Fwoscc%2Ffull-record%2FWOS:001029274100023","View Full Record in Web of Science")</f>
        <v>View Full Record in Web of Science</v>
      </c>
    </row>
    <row r="55" spans="1:72" x14ac:dyDescent="0.15">
      <c r="A55" t="s">
        <v>252</v>
      </c>
      <c r="B55" t="s">
        <v>1227</v>
      </c>
      <c r="C55" t="s">
        <v>74</v>
      </c>
      <c r="D55" t="s">
        <v>74</v>
      </c>
      <c r="E55" t="s">
        <v>254</v>
      </c>
      <c r="F55" t="s">
        <v>1228</v>
      </c>
      <c r="G55" t="s">
        <v>74</v>
      </c>
      <c r="H55" t="s">
        <v>74</v>
      </c>
      <c r="I55" t="s">
        <v>1229</v>
      </c>
      <c r="J55" t="s">
        <v>492</v>
      </c>
      <c r="K55" t="s">
        <v>258</v>
      </c>
      <c r="L55" t="s">
        <v>74</v>
      </c>
      <c r="M55" t="s">
        <v>74</v>
      </c>
      <c r="N55" t="s">
        <v>74</v>
      </c>
      <c r="O55" t="s">
        <v>388</v>
      </c>
      <c r="P55" t="s">
        <v>493</v>
      </c>
      <c r="Q55" t="s">
        <v>494</v>
      </c>
      <c r="R55" t="s">
        <v>495</v>
      </c>
      <c r="S55" t="s">
        <v>74</v>
      </c>
      <c r="T55" t="s">
        <v>74</v>
      </c>
      <c r="U55" t="s">
        <v>74</v>
      </c>
      <c r="V55" t="s">
        <v>1230</v>
      </c>
      <c r="W55" t="s">
        <v>74</v>
      </c>
      <c r="X55" t="s">
        <v>74</v>
      </c>
      <c r="Y55" t="s">
        <v>74</v>
      </c>
      <c r="Z55" t="s">
        <v>74</v>
      </c>
      <c r="AA55" t="s">
        <v>74</v>
      </c>
      <c r="AB55" t="s">
        <v>74</v>
      </c>
      <c r="AC55" t="s">
        <v>74</v>
      </c>
      <c r="AD55" t="s">
        <v>74</v>
      </c>
      <c r="AE55" t="s">
        <v>74</v>
      </c>
      <c r="AF55" t="s">
        <v>74</v>
      </c>
      <c r="AG55" t="s">
        <v>74</v>
      </c>
      <c r="AH55" t="s">
        <v>74</v>
      </c>
      <c r="AI55" t="s">
        <v>74</v>
      </c>
      <c r="AJ55" t="s">
        <v>74</v>
      </c>
      <c r="AK55" t="s">
        <v>74</v>
      </c>
      <c r="AL55" t="s">
        <v>74</v>
      </c>
      <c r="AM55" t="s">
        <v>74</v>
      </c>
      <c r="AN55" t="s">
        <v>74</v>
      </c>
      <c r="AO55" t="s">
        <v>265</v>
      </c>
      <c r="AP55" t="s">
        <v>74</v>
      </c>
      <c r="AQ55" t="s">
        <v>499</v>
      </c>
      <c r="AR55" t="s">
        <v>74</v>
      </c>
      <c r="AS55" t="s">
        <v>74</v>
      </c>
      <c r="AT55" t="s">
        <v>74</v>
      </c>
      <c r="AU55">
        <v>2023</v>
      </c>
      <c r="AV55" t="s">
        <v>74</v>
      </c>
      <c r="AW55" t="s">
        <v>74</v>
      </c>
      <c r="AX55" t="s">
        <v>74</v>
      </c>
      <c r="AY55" t="s">
        <v>74</v>
      </c>
      <c r="AZ55" t="s">
        <v>74</v>
      </c>
      <c r="BA55" t="s">
        <v>74</v>
      </c>
      <c r="BB55">
        <v>5344</v>
      </c>
      <c r="BC55">
        <v>5347</v>
      </c>
      <c r="BD55" t="s">
        <v>74</v>
      </c>
      <c r="BE55" t="s">
        <v>1231</v>
      </c>
      <c r="BF55" t="str">
        <f>HYPERLINK("http://dx.doi.org/10.1109/IGARSS52108.2023.10283236","http://dx.doi.org/10.1109/IGARSS52108.2023.10283236")</f>
        <v>http://dx.doi.org/10.1109/IGARSS52108.2023.10283236</v>
      </c>
      <c r="BG55" t="s">
        <v>74</v>
      </c>
      <c r="BH55" t="s">
        <v>74</v>
      </c>
      <c r="BI55" t="s">
        <v>74</v>
      </c>
      <c r="BJ55" t="s">
        <v>74</v>
      </c>
      <c r="BK55" t="s">
        <v>74</v>
      </c>
      <c r="BL55" t="s">
        <v>74</v>
      </c>
      <c r="BM55" t="s">
        <v>74</v>
      </c>
      <c r="BN55" t="s">
        <v>74</v>
      </c>
      <c r="BO55" t="s">
        <v>74</v>
      </c>
      <c r="BP55" t="s">
        <v>74</v>
      </c>
      <c r="BQ55" t="s">
        <v>74</v>
      </c>
      <c r="BR55" t="s">
        <v>74</v>
      </c>
      <c r="BS55" t="s">
        <v>1232</v>
      </c>
      <c r="BT55" t="str">
        <f>HYPERLINK("https%3A%2F%2Fwww.webofscience.com%2Fwos%2Fwoscc%2Ffull-record%2FWOS:001098971605131","View Full Record in Web of Science")</f>
        <v>View Full Record in Web of Science</v>
      </c>
    </row>
    <row r="56" spans="1:72" x14ac:dyDescent="0.15">
      <c r="A56" t="s">
        <v>72</v>
      </c>
      <c r="B56" t="s">
        <v>1233</v>
      </c>
      <c r="C56" t="s">
        <v>74</v>
      </c>
      <c r="D56" t="s">
        <v>74</v>
      </c>
      <c r="E56" t="s">
        <v>74</v>
      </c>
      <c r="F56" t="s">
        <v>1234</v>
      </c>
      <c r="G56" t="s">
        <v>74</v>
      </c>
      <c r="H56" t="s">
        <v>74</v>
      </c>
      <c r="I56" t="s">
        <v>1235</v>
      </c>
      <c r="J56" t="s">
        <v>158</v>
      </c>
      <c r="K56" t="s">
        <v>74</v>
      </c>
      <c r="L56" t="s">
        <v>74</v>
      </c>
      <c r="M56" t="s">
        <v>74</v>
      </c>
      <c r="N56" t="s">
        <v>74</v>
      </c>
      <c r="O56" t="s">
        <v>74</v>
      </c>
      <c r="P56" t="s">
        <v>74</v>
      </c>
      <c r="Q56" t="s">
        <v>74</v>
      </c>
      <c r="R56" t="s">
        <v>74</v>
      </c>
      <c r="S56" t="s">
        <v>74</v>
      </c>
      <c r="T56" t="s">
        <v>74</v>
      </c>
      <c r="U56" t="s">
        <v>74</v>
      </c>
      <c r="V56" t="s">
        <v>1236</v>
      </c>
      <c r="W56" t="s">
        <v>74</v>
      </c>
      <c r="X56" t="s">
        <v>74</v>
      </c>
      <c r="Y56" t="s">
        <v>74</v>
      </c>
      <c r="Z56" t="s">
        <v>74</v>
      </c>
      <c r="AA56" t="s">
        <v>1237</v>
      </c>
      <c r="AB56" t="s">
        <v>1238</v>
      </c>
      <c r="AC56" t="s">
        <v>74</v>
      </c>
      <c r="AD56" t="s">
        <v>74</v>
      </c>
      <c r="AE56" t="s">
        <v>74</v>
      </c>
      <c r="AF56" t="s">
        <v>74</v>
      </c>
      <c r="AG56" t="s">
        <v>74</v>
      </c>
      <c r="AH56" t="s">
        <v>74</v>
      </c>
      <c r="AI56" t="s">
        <v>74</v>
      </c>
      <c r="AJ56" t="s">
        <v>74</v>
      </c>
      <c r="AK56" t="s">
        <v>74</v>
      </c>
      <c r="AL56" t="s">
        <v>74</v>
      </c>
      <c r="AM56" t="s">
        <v>74</v>
      </c>
      <c r="AN56" t="s">
        <v>74</v>
      </c>
      <c r="AO56" t="s">
        <v>161</v>
      </c>
      <c r="AP56" t="s">
        <v>162</v>
      </c>
      <c r="AQ56" t="s">
        <v>74</v>
      </c>
      <c r="AR56" t="s">
        <v>74</v>
      </c>
      <c r="AS56" t="s">
        <v>74</v>
      </c>
      <c r="AT56" t="s">
        <v>405</v>
      </c>
      <c r="AU56">
        <v>2023</v>
      </c>
      <c r="AV56">
        <v>616</v>
      </c>
      <c r="AW56" t="s">
        <v>74</v>
      </c>
      <c r="AX56" t="s">
        <v>74</v>
      </c>
      <c r="AY56" t="s">
        <v>74</v>
      </c>
      <c r="AZ56" t="s">
        <v>74</v>
      </c>
      <c r="BA56" t="s">
        <v>74</v>
      </c>
      <c r="BB56" t="s">
        <v>74</v>
      </c>
      <c r="BC56" t="s">
        <v>74</v>
      </c>
      <c r="BD56">
        <v>128835</v>
      </c>
      <c r="BE56" t="s">
        <v>1239</v>
      </c>
      <c r="BF56" t="str">
        <f>HYPERLINK("http://dx.doi.org/10.1016/j.jhydrol.2022.128835","http://dx.doi.org/10.1016/j.jhydrol.2022.128835")</f>
        <v>http://dx.doi.org/10.1016/j.jhydrol.2022.128835</v>
      </c>
      <c r="BG56" t="s">
        <v>74</v>
      </c>
      <c r="BH56" t="s">
        <v>1240</v>
      </c>
      <c r="BI56" t="s">
        <v>74</v>
      </c>
      <c r="BJ56" t="s">
        <v>74</v>
      </c>
      <c r="BK56" t="s">
        <v>74</v>
      </c>
      <c r="BL56" t="s">
        <v>74</v>
      </c>
      <c r="BM56" t="s">
        <v>74</v>
      </c>
      <c r="BN56" t="s">
        <v>74</v>
      </c>
      <c r="BO56" t="s">
        <v>74</v>
      </c>
      <c r="BP56" t="s">
        <v>74</v>
      </c>
      <c r="BQ56" t="s">
        <v>74</v>
      </c>
      <c r="BR56" t="s">
        <v>74</v>
      </c>
      <c r="BS56" t="s">
        <v>1241</v>
      </c>
      <c r="BT56" t="str">
        <f>HYPERLINK("https%3A%2F%2Fwww.webofscience.com%2Fwos%2Fwoscc%2Ffull-record%2FWOS:000895782900005","View Full Record in Web of Science")</f>
        <v>View Full Record in Web of Science</v>
      </c>
    </row>
    <row r="57" spans="1:72" x14ac:dyDescent="0.15">
      <c r="A57" t="s">
        <v>72</v>
      </c>
      <c r="B57" t="s">
        <v>1242</v>
      </c>
      <c r="C57" t="s">
        <v>74</v>
      </c>
      <c r="D57" t="s">
        <v>74</v>
      </c>
      <c r="E57" t="s">
        <v>74</v>
      </c>
      <c r="F57" t="s">
        <v>1243</v>
      </c>
      <c r="G57" t="s">
        <v>74</v>
      </c>
      <c r="H57" t="s">
        <v>74</v>
      </c>
      <c r="I57" t="s">
        <v>1244</v>
      </c>
      <c r="J57" t="s">
        <v>1245</v>
      </c>
      <c r="K57" t="s">
        <v>74</v>
      </c>
      <c r="L57" t="s">
        <v>74</v>
      </c>
      <c r="M57" t="s">
        <v>74</v>
      </c>
      <c r="N57" t="s">
        <v>74</v>
      </c>
      <c r="O57" t="s">
        <v>74</v>
      </c>
      <c r="P57" t="s">
        <v>74</v>
      </c>
      <c r="Q57" t="s">
        <v>74</v>
      </c>
      <c r="R57" t="s">
        <v>74</v>
      </c>
      <c r="S57" t="s">
        <v>74</v>
      </c>
      <c r="T57" t="s">
        <v>74</v>
      </c>
      <c r="U57" t="s">
        <v>74</v>
      </c>
      <c r="V57" t="s">
        <v>1246</v>
      </c>
      <c r="W57" t="s">
        <v>74</v>
      </c>
      <c r="X57" t="s">
        <v>74</v>
      </c>
      <c r="Y57" t="s">
        <v>74</v>
      </c>
      <c r="Z57" t="s">
        <v>74</v>
      </c>
      <c r="AA57" t="s">
        <v>74</v>
      </c>
      <c r="AB57" t="s">
        <v>74</v>
      </c>
      <c r="AC57" t="s">
        <v>74</v>
      </c>
      <c r="AD57" t="s">
        <v>74</v>
      </c>
      <c r="AE57" t="s">
        <v>74</v>
      </c>
      <c r="AF57" t="s">
        <v>74</v>
      </c>
      <c r="AG57" t="s">
        <v>74</v>
      </c>
      <c r="AH57" t="s">
        <v>74</v>
      </c>
      <c r="AI57" t="s">
        <v>74</v>
      </c>
      <c r="AJ57" t="s">
        <v>74</v>
      </c>
      <c r="AK57" t="s">
        <v>74</v>
      </c>
      <c r="AL57" t="s">
        <v>74</v>
      </c>
      <c r="AM57" t="s">
        <v>74</v>
      </c>
      <c r="AN57" t="s">
        <v>74</v>
      </c>
      <c r="AO57" t="s">
        <v>1247</v>
      </c>
      <c r="AP57" t="s">
        <v>1248</v>
      </c>
      <c r="AQ57" t="s">
        <v>74</v>
      </c>
      <c r="AR57" t="s">
        <v>74</v>
      </c>
      <c r="AS57" t="s">
        <v>74</v>
      </c>
      <c r="AT57" t="s">
        <v>908</v>
      </c>
      <c r="AU57">
        <v>2022</v>
      </c>
      <c r="AV57">
        <v>70</v>
      </c>
      <c r="AW57">
        <v>12</v>
      </c>
      <c r="AX57" t="s">
        <v>74</v>
      </c>
      <c r="AY57" t="s">
        <v>74</v>
      </c>
      <c r="AZ57" t="s">
        <v>74</v>
      </c>
      <c r="BA57" t="s">
        <v>74</v>
      </c>
      <c r="BB57">
        <v>3959</v>
      </c>
      <c r="BC57">
        <v>3974</v>
      </c>
      <c r="BD57" t="s">
        <v>74</v>
      </c>
      <c r="BE57" t="s">
        <v>1249</v>
      </c>
      <c r="BF57" t="str">
        <f>HYPERLINK("http://dx.doi.org/10.1016/j.asr.2022.10.012","http://dx.doi.org/10.1016/j.asr.2022.10.012")</f>
        <v>http://dx.doi.org/10.1016/j.asr.2022.10.012</v>
      </c>
      <c r="BG57" t="s">
        <v>74</v>
      </c>
      <c r="BH57" t="s">
        <v>1240</v>
      </c>
      <c r="BI57" t="s">
        <v>74</v>
      </c>
      <c r="BJ57" t="s">
        <v>74</v>
      </c>
      <c r="BK57" t="s">
        <v>74</v>
      </c>
      <c r="BL57" t="s">
        <v>74</v>
      </c>
      <c r="BM57" t="s">
        <v>74</v>
      </c>
      <c r="BN57" t="s">
        <v>74</v>
      </c>
      <c r="BO57" t="s">
        <v>74</v>
      </c>
      <c r="BP57" t="s">
        <v>74</v>
      </c>
      <c r="BQ57" t="s">
        <v>74</v>
      </c>
      <c r="BR57" t="s">
        <v>74</v>
      </c>
      <c r="BS57" t="s">
        <v>1250</v>
      </c>
      <c r="BT57" t="str">
        <f>HYPERLINK("https%3A%2F%2Fwww.webofscience.com%2Fwos%2Fwoscc%2Ffull-record%2FWOS:000897695100001","View Full Record in Web of Science")</f>
        <v>View Full Record in Web of Science</v>
      </c>
    </row>
    <row r="58" spans="1:72" x14ac:dyDescent="0.15">
      <c r="A58" t="s">
        <v>72</v>
      </c>
      <c r="B58" t="s">
        <v>1251</v>
      </c>
      <c r="C58" t="s">
        <v>74</v>
      </c>
      <c r="D58" t="s">
        <v>74</v>
      </c>
      <c r="E58" t="s">
        <v>74</v>
      </c>
      <c r="F58" t="s">
        <v>1252</v>
      </c>
      <c r="G58" t="s">
        <v>74</v>
      </c>
      <c r="H58" t="s">
        <v>74</v>
      </c>
      <c r="I58" t="s">
        <v>1253</v>
      </c>
      <c r="J58" t="s">
        <v>147</v>
      </c>
      <c r="K58" t="s">
        <v>74</v>
      </c>
      <c r="L58" t="s">
        <v>74</v>
      </c>
      <c r="M58" t="s">
        <v>74</v>
      </c>
      <c r="N58" t="s">
        <v>74</v>
      </c>
      <c r="O58" t="s">
        <v>74</v>
      </c>
      <c r="P58" t="s">
        <v>74</v>
      </c>
      <c r="Q58" t="s">
        <v>74</v>
      </c>
      <c r="R58" t="s">
        <v>74</v>
      </c>
      <c r="S58" t="s">
        <v>74</v>
      </c>
      <c r="T58" t="s">
        <v>74</v>
      </c>
      <c r="U58" t="s">
        <v>74</v>
      </c>
      <c r="V58" t="s">
        <v>1254</v>
      </c>
      <c r="W58" t="s">
        <v>74</v>
      </c>
      <c r="X58" t="s">
        <v>74</v>
      </c>
      <c r="Y58" t="s">
        <v>74</v>
      </c>
      <c r="Z58" t="s">
        <v>74</v>
      </c>
      <c r="AA58" t="s">
        <v>74</v>
      </c>
      <c r="AB58" t="s">
        <v>1255</v>
      </c>
      <c r="AC58" t="s">
        <v>74</v>
      </c>
      <c r="AD58" t="s">
        <v>74</v>
      </c>
      <c r="AE58" t="s">
        <v>74</v>
      </c>
      <c r="AF58" t="s">
        <v>74</v>
      </c>
      <c r="AG58" t="s">
        <v>74</v>
      </c>
      <c r="AH58" t="s">
        <v>74</v>
      </c>
      <c r="AI58" t="s">
        <v>74</v>
      </c>
      <c r="AJ58" t="s">
        <v>74</v>
      </c>
      <c r="AK58" t="s">
        <v>74</v>
      </c>
      <c r="AL58" t="s">
        <v>74</v>
      </c>
      <c r="AM58" t="s">
        <v>74</v>
      </c>
      <c r="AN58" t="s">
        <v>74</v>
      </c>
      <c r="AO58" t="s">
        <v>74</v>
      </c>
      <c r="AP58" t="s">
        <v>151</v>
      </c>
      <c r="AQ58" t="s">
        <v>74</v>
      </c>
      <c r="AR58" t="s">
        <v>74</v>
      </c>
      <c r="AS58" t="s">
        <v>74</v>
      </c>
      <c r="AT58" t="s">
        <v>177</v>
      </c>
      <c r="AU58">
        <v>2022</v>
      </c>
      <c r="AV58">
        <v>14</v>
      </c>
      <c r="AW58">
        <v>17</v>
      </c>
      <c r="AX58" t="s">
        <v>74</v>
      </c>
      <c r="AY58" t="s">
        <v>74</v>
      </c>
      <c r="AZ58" t="s">
        <v>74</v>
      </c>
      <c r="BA58" t="s">
        <v>74</v>
      </c>
      <c r="BB58" t="s">
        <v>74</v>
      </c>
      <c r="BC58" t="s">
        <v>74</v>
      </c>
      <c r="BD58">
        <v>4227</v>
      </c>
      <c r="BE58" t="s">
        <v>1256</v>
      </c>
      <c r="BF58" t="str">
        <f>HYPERLINK("http://dx.doi.org/10.3390/rs14174227","http://dx.doi.org/10.3390/rs14174227")</f>
        <v>http://dx.doi.org/10.3390/rs14174227</v>
      </c>
      <c r="BG58" t="s">
        <v>74</v>
      </c>
      <c r="BH58" t="s">
        <v>74</v>
      </c>
      <c r="BI58" t="s">
        <v>74</v>
      </c>
      <c r="BJ58" t="s">
        <v>74</v>
      </c>
      <c r="BK58" t="s">
        <v>74</v>
      </c>
      <c r="BL58" t="s">
        <v>74</v>
      </c>
      <c r="BM58" t="s">
        <v>74</v>
      </c>
      <c r="BN58" t="s">
        <v>74</v>
      </c>
      <c r="BO58" t="s">
        <v>74</v>
      </c>
      <c r="BP58" t="s">
        <v>74</v>
      </c>
      <c r="BQ58" t="s">
        <v>74</v>
      </c>
      <c r="BR58" t="s">
        <v>74</v>
      </c>
      <c r="BS58" t="s">
        <v>1257</v>
      </c>
      <c r="BT58" t="str">
        <f>HYPERLINK("https%3A%2F%2Fwww.webofscience.com%2Fwos%2Fwoscc%2Ffull-record%2FWOS:000851926800001","View Full Record in Web of Science")</f>
        <v>View Full Record in Web of Science</v>
      </c>
    </row>
    <row r="59" spans="1:72" x14ac:dyDescent="0.15">
      <c r="A59" t="s">
        <v>72</v>
      </c>
      <c r="B59" t="s">
        <v>1258</v>
      </c>
      <c r="C59" t="s">
        <v>74</v>
      </c>
      <c r="D59" t="s">
        <v>74</v>
      </c>
      <c r="E59" t="s">
        <v>74</v>
      </c>
      <c r="F59" t="s">
        <v>1259</v>
      </c>
      <c r="G59" t="s">
        <v>74</v>
      </c>
      <c r="H59" t="s">
        <v>74</v>
      </c>
      <c r="I59" t="s">
        <v>1260</v>
      </c>
      <c r="J59" t="s">
        <v>1261</v>
      </c>
      <c r="K59" t="s">
        <v>74</v>
      </c>
      <c r="L59" t="s">
        <v>74</v>
      </c>
      <c r="M59" t="s">
        <v>74</v>
      </c>
      <c r="N59" t="s">
        <v>74</v>
      </c>
      <c r="O59" t="s">
        <v>74</v>
      </c>
      <c r="P59" t="s">
        <v>74</v>
      </c>
      <c r="Q59" t="s">
        <v>74</v>
      </c>
      <c r="R59" t="s">
        <v>74</v>
      </c>
      <c r="S59" t="s">
        <v>74</v>
      </c>
      <c r="T59" t="s">
        <v>74</v>
      </c>
      <c r="U59" t="s">
        <v>74</v>
      </c>
      <c r="V59" t="s">
        <v>1262</v>
      </c>
      <c r="W59" t="s">
        <v>74</v>
      </c>
      <c r="X59" t="s">
        <v>74</v>
      </c>
      <c r="Y59" t="s">
        <v>74</v>
      </c>
      <c r="Z59" t="s">
        <v>74</v>
      </c>
      <c r="AA59" t="s">
        <v>1263</v>
      </c>
      <c r="AB59" t="s">
        <v>74</v>
      </c>
      <c r="AC59" t="s">
        <v>74</v>
      </c>
      <c r="AD59" t="s">
        <v>74</v>
      </c>
      <c r="AE59" t="s">
        <v>74</v>
      </c>
      <c r="AF59" t="s">
        <v>74</v>
      </c>
      <c r="AG59" t="s">
        <v>74</v>
      </c>
      <c r="AH59" t="s">
        <v>74</v>
      </c>
      <c r="AI59" t="s">
        <v>74</v>
      </c>
      <c r="AJ59" t="s">
        <v>74</v>
      </c>
      <c r="AK59" t="s">
        <v>74</v>
      </c>
      <c r="AL59" t="s">
        <v>74</v>
      </c>
      <c r="AM59" t="s">
        <v>74</v>
      </c>
      <c r="AN59" t="s">
        <v>74</v>
      </c>
      <c r="AO59" t="s">
        <v>1264</v>
      </c>
      <c r="AP59" t="s">
        <v>74</v>
      </c>
      <c r="AQ59" t="s">
        <v>74</v>
      </c>
      <c r="AR59" t="s">
        <v>74</v>
      </c>
      <c r="AS59" t="s">
        <v>74</v>
      </c>
      <c r="AT59" t="s">
        <v>1265</v>
      </c>
      <c r="AU59">
        <v>2022</v>
      </c>
      <c r="AV59">
        <v>12</v>
      </c>
      <c r="AW59">
        <v>1</v>
      </c>
      <c r="AX59" t="s">
        <v>74</v>
      </c>
      <c r="AY59" t="s">
        <v>74</v>
      </c>
      <c r="AZ59" t="s">
        <v>74</v>
      </c>
      <c r="BA59" t="s">
        <v>74</v>
      </c>
      <c r="BB59" t="s">
        <v>74</v>
      </c>
      <c r="BC59" t="s">
        <v>74</v>
      </c>
      <c r="BD59">
        <v>14415</v>
      </c>
      <c r="BE59" t="s">
        <v>1266</v>
      </c>
      <c r="BF59" t="str">
        <f>HYPERLINK("http://dx.doi.org/10.1038/s41598-022-18812-6","http://dx.doi.org/10.1038/s41598-022-18812-6")</f>
        <v>http://dx.doi.org/10.1038/s41598-022-18812-6</v>
      </c>
      <c r="BG59" t="s">
        <v>74</v>
      </c>
      <c r="BH59" t="s">
        <v>74</v>
      </c>
      <c r="BI59" t="s">
        <v>74</v>
      </c>
      <c r="BJ59" t="s">
        <v>74</v>
      </c>
      <c r="BK59" t="s">
        <v>74</v>
      </c>
      <c r="BL59" t="s">
        <v>74</v>
      </c>
      <c r="BM59" t="s">
        <v>74</v>
      </c>
      <c r="BN59">
        <v>36002645</v>
      </c>
      <c r="BO59" t="s">
        <v>74</v>
      </c>
      <c r="BP59" t="s">
        <v>74</v>
      </c>
      <c r="BQ59" t="s">
        <v>74</v>
      </c>
      <c r="BR59" t="s">
        <v>74</v>
      </c>
      <c r="BS59" t="s">
        <v>1267</v>
      </c>
      <c r="BT59" t="str">
        <f>HYPERLINK("https%3A%2F%2Fwww.webofscience.com%2Fwos%2Fwoscc%2Ffull-record%2FWOS:000845011100055","View Full Record in Web of Science")</f>
        <v>View Full Record in Web of Science</v>
      </c>
    </row>
    <row r="60" spans="1:72" x14ac:dyDescent="0.15">
      <c r="A60" t="s">
        <v>72</v>
      </c>
      <c r="B60" t="s">
        <v>1268</v>
      </c>
      <c r="C60" t="s">
        <v>74</v>
      </c>
      <c r="D60" t="s">
        <v>74</v>
      </c>
      <c r="E60" t="s">
        <v>74</v>
      </c>
      <c r="F60" t="s">
        <v>1269</v>
      </c>
      <c r="G60" t="s">
        <v>74</v>
      </c>
      <c r="H60" t="s">
        <v>74</v>
      </c>
      <c r="I60" t="s">
        <v>1270</v>
      </c>
      <c r="J60" t="s">
        <v>147</v>
      </c>
      <c r="K60" t="s">
        <v>74</v>
      </c>
      <c r="L60" t="s">
        <v>74</v>
      </c>
      <c r="M60" t="s">
        <v>74</v>
      </c>
      <c r="N60" t="s">
        <v>74</v>
      </c>
      <c r="O60" t="s">
        <v>74</v>
      </c>
      <c r="P60" t="s">
        <v>74</v>
      </c>
      <c r="Q60" t="s">
        <v>74</v>
      </c>
      <c r="R60" t="s">
        <v>74</v>
      </c>
      <c r="S60" t="s">
        <v>74</v>
      </c>
      <c r="T60" t="s">
        <v>74</v>
      </c>
      <c r="U60" t="s">
        <v>74</v>
      </c>
      <c r="V60" t="s">
        <v>1271</v>
      </c>
      <c r="W60" t="s">
        <v>74</v>
      </c>
      <c r="X60" t="s">
        <v>74</v>
      </c>
      <c r="Y60" t="s">
        <v>74</v>
      </c>
      <c r="Z60" t="s">
        <v>74</v>
      </c>
      <c r="AA60" t="s">
        <v>1272</v>
      </c>
      <c r="AB60" t="s">
        <v>1273</v>
      </c>
      <c r="AC60" t="s">
        <v>74</v>
      </c>
      <c r="AD60" t="s">
        <v>74</v>
      </c>
      <c r="AE60" t="s">
        <v>74</v>
      </c>
      <c r="AF60" t="s">
        <v>74</v>
      </c>
      <c r="AG60" t="s">
        <v>74</v>
      </c>
      <c r="AH60" t="s">
        <v>74</v>
      </c>
      <c r="AI60" t="s">
        <v>74</v>
      </c>
      <c r="AJ60" t="s">
        <v>74</v>
      </c>
      <c r="AK60" t="s">
        <v>74</v>
      </c>
      <c r="AL60" t="s">
        <v>74</v>
      </c>
      <c r="AM60" t="s">
        <v>74</v>
      </c>
      <c r="AN60" t="s">
        <v>74</v>
      </c>
      <c r="AO60" t="s">
        <v>74</v>
      </c>
      <c r="AP60" t="s">
        <v>151</v>
      </c>
      <c r="AQ60" t="s">
        <v>74</v>
      </c>
      <c r="AR60" t="s">
        <v>74</v>
      </c>
      <c r="AS60" t="s">
        <v>74</v>
      </c>
      <c r="AT60" t="s">
        <v>666</v>
      </c>
      <c r="AU60">
        <v>2022</v>
      </c>
      <c r="AV60">
        <v>14</v>
      </c>
      <c r="AW60">
        <v>16</v>
      </c>
      <c r="AX60" t="s">
        <v>74</v>
      </c>
      <c r="AY60" t="s">
        <v>74</v>
      </c>
      <c r="AZ60" t="s">
        <v>74</v>
      </c>
      <c r="BA60" t="s">
        <v>74</v>
      </c>
      <c r="BB60" t="s">
        <v>74</v>
      </c>
      <c r="BC60" t="s">
        <v>74</v>
      </c>
      <c r="BD60">
        <v>4002</v>
      </c>
      <c r="BE60" t="s">
        <v>1274</v>
      </c>
      <c r="BF60" t="str">
        <f>HYPERLINK("http://dx.doi.org/10.3390/rs14164002","http://dx.doi.org/10.3390/rs14164002")</f>
        <v>http://dx.doi.org/10.3390/rs14164002</v>
      </c>
      <c r="BG60" t="s">
        <v>74</v>
      </c>
      <c r="BH60" t="s">
        <v>74</v>
      </c>
      <c r="BI60" t="s">
        <v>74</v>
      </c>
      <c r="BJ60" t="s">
        <v>74</v>
      </c>
      <c r="BK60" t="s">
        <v>74</v>
      </c>
      <c r="BL60" t="s">
        <v>74</v>
      </c>
      <c r="BM60" t="s">
        <v>74</v>
      </c>
      <c r="BN60" t="s">
        <v>74</v>
      </c>
      <c r="BO60" t="s">
        <v>74</v>
      </c>
      <c r="BP60" t="s">
        <v>74</v>
      </c>
      <c r="BQ60" t="s">
        <v>74</v>
      </c>
      <c r="BR60" t="s">
        <v>74</v>
      </c>
      <c r="BS60" t="s">
        <v>1275</v>
      </c>
      <c r="BT60" t="str">
        <f>HYPERLINK("https%3A%2F%2Fwww.webofscience.com%2Fwos%2Fwoscc%2Ffull-record%2FWOS:000846639000001","View Full Record in Web of Science")</f>
        <v>View Full Record in Web of Science</v>
      </c>
    </row>
    <row r="61" spans="1:72" x14ac:dyDescent="0.15">
      <c r="A61" t="s">
        <v>72</v>
      </c>
      <c r="B61" t="s">
        <v>1276</v>
      </c>
      <c r="C61" t="s">
        <v>74</v>
      </c>
      <c r="D61" t="s">
        <v>74</v>
      </c>
      <c r="E61" t="s">
        <v>74</v>
      </c>
      <c r="F61" t="s">
        <v>1277</v>
      </c>
      <c r="G61" t="s">
        <v>74</v>
      </c>
      <c r="H61" t="s">
        <v>74</v>
      </c>
      <c r="I61" t="s">
        <v>1278</v>
      </c>
      <c r="J61" t="s">
        <v>147</v>
      </c>
      <c r="K61" t="s">
        <v>74</v>
      </c>
      <c r="L61" t="s">
        <v>74</v>
      </c>
      <c r="M61" t="s">
        <v>74</v>
      </c>
      <c r="N61" t="s">
        <v>74</v>
      </c>
      <c r="O61" t="s">
        <v>74</v>
      </c>
      <c r="P61" t="s">
        <v>74</v>
      </c>
      <c r="Q61" t="s">
        <v>74</v>
      </c>
      <c r="R61" t="s">
        <v>74</v>
      </c>
      <c r="S61" t="s">
        <v>74</v>
      </c>
      <c r="T61" t="s">
        <v>74</v>
      </c>
      <c r="U61" t="s">
        <v>74</v>
      </c>
      <c r="V61" t="s">
        <v>1279</v>
      </c>
      <c r="W61" t="s">
        <v>74</v>
      </c>
      <c r="X61" t="s">
        <v>74</v>
      </c>
      <c r="Y61" t="s">
        <v>74</v>
      </c>
      <c r="Z61" t="s">
        <v>74</v>
      </c>
      <c r="AA61" t="s">
        <v>1280</v>
      </c>
      <c r="AB61" t="s">
        <v>1281</v>
      </c>
      <c r="AC61" t="s">
        <v>74</v>
      </c>
      <c r="AD61" t="s">
        <v>74</v>
      </c>
      <c r="AE61" t="s">
        <v>74</v>
      </c>
      <c r="AF61" t="s">
        <v>74</v>
      </c>
      <c r="AG61" t="s">
        <v>74</v>
      </c>
      <c r="AH61" t="s">
        <v>74</v>
      </c>
      <c r="AI61" t="s">
        <v>74</v>
      </c>
      <c r="AJ61" t="s">
        <v>74</v>
      </c>
      <c r="AK61" t="s">
        <v>74</v>
      </c>
      <c r="AL61" t="s">
        <v>74</v>
      </c>
      <c r="AM61" t="s">
        <v>74</v>
      </c>
      <c r="AN61" t="s">
        <v>74</v>
      </c>
      <c r="AO61" t="s">
        <v>74</v>
      </c>
      <c r="AP61" t="s">
        <v>151</v>
      </c>
      <c r="AQ61" t="s">
        <v>74</v>
      </c>
      <c r="AR61" t="s">
        <v>74</v>
      </c>
      <c r="AS61" t="s">
        <v>74</v>
      </c>
      <c r="AT61" t="s">
        <v>208</v>
      </c>
      <c r="AU61">
        <v>2022</v>
      </c>
      <c r="AV61">
        <v>14</v>
      </c>
      <c r="AW61">
        <v>14</v>
      </c>
      <c r="AX61" t="s">
        <v>74</v>
      </c>
      <c r="AY61" t="s">
        <v>74</v>
      </c>
      <c r="AZ61" t="s">
        <v>74</v>
      </c>
      <c r="BA61" t="s">
        <v>74</v>
      </c>
      <c r="BB61" t="s">
        <v>74</v>
      </c>
      <c r="BC61" t="s">
        <v>74</v>
      </c>
      <c r="BD61">
        <v>3409</v>
      </c>
      <c r="BE61" t="s">
        <v>1282</v>
      </c>
      <c r="BF61" t="str">
        <f>HYPERLINK("http://dx.doi.org/10.3390/rs14143409","http://dx.doi.org/10.3390/rs14143409")</f>
        <v>http://dx.doi.org/10.3390/rs14143409</v>
      </c>
      <c r="BG61" t="s">
        <v>74</v>
      </c>
      <c r="BH61" t="s">
        <v>74</v>
      </c>
      <c r="BI61" t="s">
        <v>74</v>
      </c>
      <c r="BJ61" t="s">
        <v>74</v>
      </c>
      <c r="BK61" t="s">
        <v>74</v>
      </c>
      <c r="BL61" t="s">
        <v>74</v>
      </c>
      <c r="BM61" t="s">
        <v>74</v>
      </c>
      <c r="BN61" t="s">
        <v>74</v>
      </c>
      <c r="BO61" t="s">
        <v>74</v>
      </c>
      <c r="BP61" t="s">
        <v>74</v>
      </c>
      <c r="BQ61" t="s">
        <v>74</v>
      </c>
      <c r="BR61" t="s">
        <v>74</v>
      </c>
      <c r="BS61" t="s">
        <v>1283</v>
      </c>
      <c r="BT61" t="str">
        <f>HYPERLINK("https%3A%2F%2Fwww.webofscience.com%2Fwos%2Fwoscc%2Ffull-record%2FWOS:000832031600001","View Full Record in Web of Science")</f>
        <v>View Full Record in Web of Science</v>
      </c>
    </row>
    <row r="62" spans="1:72" x14ac:dyDescent="0.15">
      <c r="A62" t="s">
        <v>72</v>
      </c>
      <c r="B62" t="s">
        <v>1284</v>
      </c>
      <c r="C62" t="s">
        <v>74</v>
      </c>
      <c r="D62" t="s">
        <v>74</v>
      </c>
      <c r="E62" t="s">
        <v>74</v>
      </c>
      <c r="F62" t="s">
        <v>1285</v>
      </c>
      <c r="G62" t="s">
        <v>74</v>
      </c>
      <c r="H62" t="s">
        <v>74</v>
      </c>
      <c r="I62" t="s">
        <v>1286</v>
      </c>
      <c r="J62" t="s">
        <v>1287</v>
      </c>
      <c r="K62" t="s">
        <v>74</v>
      </c>
      <c r="L62" t="s">
        <v>74</v>
      </c>
      <c r="M62" t="s">
        <v>74</v>
      </c>
      <c r="N62" t="s">
        <v>74</v>
      </c>
      <c r="O62" t="s">
        <v>74</v>
      </c>
      <c r="P62" t="s">
        <v>74</v>
      </c>
      <c r="Q62" t="s">
        <v>74</v>
      </c>
      <c r="R62" t="s">
        <v>74</v>
      </c>
      <c r="S62" t="s">
        <v>74</v>
      </c>
      <c r="T62" t="s">
        <v>74</v>
      </c>
      <c r="U62" t="s">
        <v>74</v>
      </c>
      <c r="V62" t="s">
        <v>1288</v>
      </c>
      <c r="W62" t="s">
        <v>74</v>
      </c>
      <c r="X62" t="s">
        <v>74</v>
      </c>
      <c r="Y62" t="s">
        <v>74</v>
      </c>
      <c r="Z62" t="s">
        <v>74</v>
      </c>
      <c r="AA62" t="s">
        <v>1289</v>
      </c>
      <c r="AB62" t="s">
        <v>1290</v>
      </c>
      <c r="AC62" t="s">
        <v>74</v>
      </c>
      <c r="AD62" t="s">
        <v>74</v>
      </c>
      <c r="AE62" t="s">
        <v>74</v>
      </c>
      <c r="AF62" t="s">
        <v>74</v>
      </c>
      <c r="AG62" t="s">
        <v>74</v>
      </c>
      <c r="AH62" t="s">
        <v>74</v>
      </c>
      <c r="AI62" t="s">
        <v>74</v>
      </c>
      <c r="AJ62" t="s">
        <v>74</v>
      </c>
      <c r="AK62" t="s">
        <v>74</v>
      </c>
      <c r="AL62" t="s">
        <v>74</v>
      </c>
      <c r="AM62" t="s">
        <v>74</v>
      </c>
      <c r="AN62" t="s">
        <v>74</v>
      </c>
      <c r="AO62" t="s">
        <v>74</v>
      </c>
      <c r="AP62" t="s">
        <v>1291</v>
      </c>
      <c r="AQ62" t="s">
        <v>74</v>
      </c>
      <c r="AR62" t="s">
        <v>74</v>
      </c>
      <c r="AS62" t="s">
        <v>74</v>
      </c>
      <c r="AT62" t="s">
        <v>208</v>
      </c>
      <c r="AU62">
        <v>2022</v>
      </c>
      <c r="AV62">
        <v>22</v>
      </c>
      <c r="AW62">
        <v>13</v>
      </c>
      <c r="AX62" t="s">
        <v>74</v>
      </c>
      <c r="AY62" t="s">
        <v>74</v>
      </c>
      <c r="AZ62" t="s">
        <v>74</v>
      </c>
      <c r="BA62" t="s">
        <v>74</v>
      </c>
      <c r="BB62" t="s">
        <v>74</v>
      </c>
      <c r="BC62" t="s">
        <v>74</v>
      </c>
      <c r="BD62">
        <v>4769</v>
      </c>
      <c r="BE62" t="s">
        <v>1292</v>
      </c>
      <c r="BF62" t="str">
        <f>HYPERLINK("http://dx.doi.org/10.3390/s22134769","http://dx.doi.org/10.3390/s22134769")</f>
        <v>http://dx.doi.org/10.3390/s22134769</v>
      </c>
      <c r="BG62" t="s">
        <v>74</v>
      </c>
      <c r="BH62" t="s">
        <v>74</v>
      </c>
      <c r="BI62" t="s">
        <v>74</v>
      </c>
      <c r="BJ62" t="s">
        <v>74</v>
      </c>
      <c r="BK62" t="s">
        <v>74</v>
      </c>
      <c r="BL62" t="s">
        <v>74</v>
      </c>
      <c r="BM62" t="s">
        <v>74</v>
      </c>
      <c r="BN62">
        <v>35808266</v>
      </c>
      <c r="BO62" t="s">
        <v>74</v>
      </c>
      <c r="BP62" t="s">
        <v>74</v>
      </c>
      <c r="BQ62" t="s">
        <v>74</v>
      </c>
      <c r="BR62" t="s">
        <v>74</v>
      </c>
      <c r="BS62" t="s">
        <v>1293</v>
      </c>
      <c r="BT62" t="str">
        <f>HYPERLINK("https%3A%2F%2Fwww.webofscience.com%2Fwos%2Fwoscc%2Ffull-record%2FWOS:000825604900001","View Full Record in Web of Science")</f>
        <v>View Full Record in Web of Science</v>
      </c>
    </row>
    <row r="63" spans="1:72" x14ac:dyDescent="0.15">
      <c r="A63" t="s">
        <v>72</v>
      </c>
      <c r="B63" t="s">
        <v>1294</v>
      </c>
      <c r="C63" t="s">
        <v>74</v>
      </c>
      <c r="D63" t="s">
        <v>74</v>
      </c>
      <c r="E63" t="s">
        <v>74</v>
      </c>
      <c r="F63" t="s">
        <v>1295</v>
      </c>
      <c r="G63" t="s">
        <v>74</v>
      </c>
      <c r="H63" t="s">
        <v>74</v>
      </c>
      <c r="I63" t="s">
        <v>1296</v>
      </c>
      <c r="J63" t="s">
        <v>147</v>
      </c>
      <c r="K63" t="s">
        <v>74</v>
      </c>
      <c r="L63" t="s">
        <v>74</v>
      </c>
      <c r="M63" t="s">
        <v>74</v>
      </c>
      <c r="N63" t="s">
        <v>74</v>
      </c>
      <c r="O63" t="s">
        <v>74</v>
      </c>
      <c r="P63" t="s">
        <v>74</v>
      </c>
      <c r="Q63" t="s">
        <v>74</v>
      </c>
      <c r="R63" t="s">
        <v>74</v>
      </c>
      <c r="S63" t="s">
        <v>74</v>
      </c>
      <c r="T63" t="s">
        <v>74</v>
      </c>
      <c r="U63" t="s">
        <v>74</v>
      </c>
      <c r="V63" t="s">
        <v>1297</v>
      </c>
      <c r="W63" t="s">
        <v>74</v>
      </c>
      <c r="X63" t="s">
        <v>74</v>
      </c>
      <c r="Y63" t="s">
        <v>74</v>
      </c>
      <c r="Z63" t="s">
        <v>74</v>
      </c>
      <c r="AA63" t="s">
        <v>1298</v>
      </c>
      <c r="AB63" t="s">
        <v>1299</v>
      </c>
      <c r="AC63" t="s">
        <v>74</v>
      </c>
      <c r="AD63" t="s">
        <v>74</v>
      </c>
      <c r="AE63" t="s">
        <v>74</v>
      </c>
      <c r="AF63" t="s">
        <v>74</v>
      </c>
      <c r="AG63" t="s">
        <v>74</v>
      </c>
      <c r="AH63" t="s">
        <v>74</v>
      </c>
      <c r="AI63" t="s">
        <v>74</v>
      </c>
      <c r="AJ63" t="s">
        <v>74</v>
      </c>
      <c r="AK63" t="s">
        <v>74</v>
      </c>
      <c r="AL63" t="s">
        <v>74</v>
      </c>
      <c r="AM63" t="s">
        <v>74</v>
      </c>
      <c r="AN63" t="s">
        <v>74</v>
      </c>
      <c r="AO63" t="s">
        <v>74</v>
      </c>
      <c r="AP63" t="s">
        <v>151</v>
      </c>
      <c r="AQ63" t="s">
        <v>74</v>
      </c>
      <c r="AR63" t="s">
        <v>74</v>
      </c>
      <c r="AS63" t="s">
        <v>74</v>
      </c>
      <c r="AT63" t="s">
        <v>219</v>
      </c>
      <c r="AU63">
        <v>2022</v>
      </c>
      <c r="AV63">
        <v>14</v>
      </c>
      <c r="AW63">
        <v>12</v>
      </c>
      <c r="AX63" t="s">
        <v>74</v>
      </c>
      <c r="AY63" t="s">
        <v>74</v>
      </c>
      <c r="AZ63" t="s">
        <v>74</v>
      </c>
      <c r="BA63" t="s">
        <v>74</v>
      </c>
      <c r="BB63" t="s">
        <v>74</v>
      </c>
      <c r="BC63" t="s">
        <v>74</v>
      </c>
      <c r="BD63">
        <v>2800</v>
      </c>
      <c r="BE63" t="s">
        <v>1300</v>
      </c>
      <c r="BF63" t="str">
        <f>HYPERLINK("http://dx.doi.org/10.3390/rs14122800","http://dx.doi.org/10.3390/rs14122800")</f>
        <v>http://dx.doi.org/10.3390/rs14122800</v>
      </c>
      <c r="BG63" t="s">
        <v>74</v>
      </c>
      <c r="BH63" t="s">
        <v>74</v>
      </c>
      <c r="BI63" t="s">
        <v>74</v>
      </c>
      <c r="BJ63" t="s">
        <v>74</v>
      </c>
      <c r="BK63" t="s">
        <v>74</v>
      </c>
      <c r="BL63" t="s">
        <v>74</v>
      </c>
      <c r="BM63" t="s">
        <v>74</v>
      </c>
      <c r="BN63" t="s">
        <v>74</v>
      </c>
      <c r="BO63" t="s">
        <v>74</v>
      </c>
      <c r="BP63" t="s">
        <v>74</v>
      </c>
      <c r="BQ63" t="s">
        <v>74</v>
      </c>
      <c r="BR63" t="s">
        <v>74</v>
      </c>
      <c r="BS63" t="s">
        <v>1301</v>
      </c>
      <c r="BT63" t="str">
        <f>HYPERLINK("https%3A%2F%2Fwww.webofscience.com%2Fwos%2Fwoscc%2Ffull-record%2FWOS:000816325700001","View Full Record in Web of Science")</f>
        <v>View Full Record in Web of Science</v>
      </c>
    </row>
    <row r="64" spans="1:72" x14ac:dyDescent="0.15">
      <c r="A64" t="s">
        <v>72</v>
      </c>
      <c r="B64" t="s">
        <v>547</v>
      </c>
      <c r="C64" t="s">
        <v>74</v>
      </c>
      <c r="D64" t="s">
        <v>74</v>
      </c>
      <c r="E64" t="s">
        <v>74</v>
      </c>
      <c r="F64" t="s">
        <v>548</v>
      </c>
      <c r="G64" t="s">
        <v>74</v>
      </c>
      <c r="H64" t="s">
        <v>74</v>
      </c>
      <c r="I64" t="s">
        <v>549</v>
      </c>
      <c r="J64" t="s">
        <v>399</v>
      </c>
      <c r="K64" t="s">
        <v>74</v>
      </c>
      <c r="L64" t="s">
        <v>74</v>
      </c>
      <c r="M64" t="s">
        <v>74</v>
      </c>
      <c r="N64" t="s">
        <v>74</v>
      </c>
      <c r="O64" t="s">
        <v>74</v>
      </c>
      <c r="P64" t="s">
        <v>74</v>
      </c>
      <c r="Q64" t="s">
        <v>74</v>
      </c>
      <c r="R64" t="s">
        <v>74</v>
      </c>
      <c r="S64" t="s">
        <v>74</v>
      </c>
      <c r="T64" t="s">
        <v>74</v>
      </c>
      <c r="U64" t="s">
        <v>74</v>
      </c>
      <c r="V64" t="s">
        <v>550</v>
      </c>
      <c r="W64" t="s">
        <v>74</v>
      </c>
      <c r="X64" t="s">
        <v>74</v>
      </c>
      <c r="Y64" t="s">
        <v>74</v>
      </c>
      <c r="Z64" t="s">
        <v>74</v>
      </c>
      <c r="AA64" t="s">
        <v>551</v>
      </c>
      <c r="AB64" t="s">
        <v>552</v>
      </c>
      <c r="AC64" t="s">
        <v>74</v>
      </c>
      <c r="AD64" t="s">
        <v>74</v>
      </c>
      <c r="AE64" t="s">
        <v>74</v>
      </c>
      <c r="AF64" t="s">
        <v>74</v>
      </c>
      <c r="AG64" t="s">
        <v>74</v>
      </c>
      <c r="AH64" t="s">
        <v>74</v>
      </c>
      <c r="AI64" t="s">
        <v>74</v>
      </c>
      <c r="AJ64" t="s">
        <v>74</v>
      </c>
      <c r="AK64" t="s">
        <v>74</v>
      </c>
      <c r="AL64" t="s">
        <v>74</v>
      </c>
      <c r="AM64" t="s">
        <v>74</v>
      </c>
      <c r="AN64" t="s">
        <v>74</v>
      </c>
      <c r="AO64" t="s">
        <v>403</v>
      </c>
      <c r="AP64" t="s">
        <v>404</v>
      </c>
      <c r="AQ64" t="s">
        <v>74</v>
      </c>
      <c r="AR64" t="s">
        <v>74</v>
      </c>
      <c r="AS64" t="s">
        <v>74</v>
      </c>
      <c r="AT64" t="s">
        <v>199</v>
      </c>
      <c r="AU64">
        <v>2022</v>
      </c>
      <c r="AV64">
        <v>23</v>
      </c>
      <c r="AW64">
        <v>5</v>
      </c>
      <c r="AX64" t="s">
        <v>74</v>
      </c>
      <c r="AY64" t="s">
        <v>74</v>
      </c>
      <c r="AZ64" t="s">
        <v>74</v>
      </c>
      <c r="BA64" t="s">
        <v>74</v>
      </c>
      <c r="BB64">
        <v>637</v>
      </c>
      <c r="BC64">
        <v>658</v>
      </c>
      <c r="BD64" t="s">
        <v>74</v>
      </c>
      <c r="BE64" t="s">
        <v>553</v>
      </c>
      <c r="BF64" t="str">
        <f>HYPERLINK("http://dx.doi.org/10.1175/JHM-D-20-0111.1","http://dx.doi.org/10.1175/JHM-D-20-0111.1")</f>
        <v>http://dx.doi.org/10.1175/JHM-D-20-0111.1</v>
      </c>
      <c r="BG64" t="s">
        <v>74</v>
      </c>
      <c r="BH64" t="s">
        <v>74</v>
      </c>
      <c r="BI64" t="s">
        <v>74</v>
      </c>
      <c r="BJ64" t="s">
        <v>74</v>
      </c>
      <c r="BK64" t="s">
        <v>74</v>
      </c>
      <c r="BL64" t="s">
        <v>74</v>
      </c>
      <c r="BM64" t="s">
        <v>74</v>
      </c>
      <c r="BN64" t="s">
        <v>74</v>
      </c>
      <c r="BO64" t="s">
        <v>74</v>
      </c>
      <c r="BP64" t="s">
        <v>74</v>
      </c>
      <c r="BQ64" t="s">
        <v>74</v>
      </c>
      <c r="BR64" t="s">
        <v>74</v>
      </c>
      <c r="BS64" t="s">
        <v>554</v>
      </c>
      <c r="BT64" t="str">
        <f>HYPERLINK("https%3A%2F%2Fwww.webofscience.com%2Fwos%2Fwoscc%2Ffull-record%2FWOS:000814991800001","View Full Record in Web of Science")</f>
        <v>View Full Record in Web of Science</v>
      </c>
    </row>
    <row r="65" spans="1:72" x14ac:dyDescent="0.15">
      <c r="A65" t="s">
        <v>72</v>
      </c>
      <c r="B65" t="s">
        <v>555</v>
      </c>
      <c r="C65" t="s">
        <v>74</v>
      </c>
      <c r="D65" t="s">
        <v>74</v>
      </c>
      <c r="E65" t="s">
        <v>74</v>
      </c>
      <c r="F65" t="s">
        <v>556</v>
      </c>
      <c r="G65" t="s">
        <v>74</v>
      </c>
      <c r="H65" t="s">
        <v>74</v>
      </c>
      <c r="I65" t="s">
        <v>557</v>
      </c>
      <c r="J65" t="s">
        <v>122</v>
      </c>
      <c r="K65" t="s">
        <v>74</v>
      </c>
      <c r="L65" t="s">
        <v>74</v>
      </c>
      <c r="M65" t="s">
        <v>74</v>
      </c>
      <c r="N65" t="s">
        <v>74</v>
      </c>
      <c r="O65" t="s">
        <v>74</v>
      </c>
      <c r="P65" t="s">
        <v>74</v>
      </c>
      <c r="Q65" t="s">
        <v>74</v>
      </c>
      <c r="R65" t="s">
        <v>74</v>
      </c>
      <c r="S65" t="s">
        <v>74</v>
      </c>
      <c r="T65" t="s">
        <v>74</v>
      </c>
      <c r="U65" t="s">
        <v>74</v>
      </c>
      <c r="V65" t="s">
        <v>558</v>
      </c>
      <c r="W65" t="s">
        <v>74</v>
      </c>
      <c r="X65" t="s">
        <v>74</v>
      </c>
      <c r="Y65" t="s">
        <v>74</v>
      </c>
      <c r="Z65" t="s">
        <v>74</v>
      </c>
      <c r="AA65" t="s">
        <v>559</v>
      </c>
      <c r="AB65" t="s">
        <v>560</v>
      </c>
      <c r="AC65" t="s">
        <v>74</v>
      </c>
      <c r="AD65" t="s">
        <v>74</v>
      </c>
      <c r="AE65" t="s">
        <v>74</v>
      </c>
      <c r="AF65" t="s">
        <v>74</v>
      </c>
      <c r="AG65" t="s">
        <v>74</v>
      </c>
      <c r="AH65" t="s">
        <v>74</v>
      </c>
      <c r="AI65" t="s">
        <v>74</v>
      </c>
      <c r="AJ65" t="s">
        <v>74</v>
      </c>
      <c r="AK65" t="s">
        <v>74</v>
      </c>
      <c r="AL65" t="s">
        <v>74</v>
      </c>
      <c r="AM65" t="s">
        <v>74</v>
      </c>
      <c r="AN65" t="s">
        <v>74</v>
      </c>
      <c r="AO65" t="s">
        <v>126</v>
      </c>
      <c r="AP65" t="s">
        <v>127</v>
      </c>
      <c r="AQ65" t="s">
        <v>74</v>
      </c>
      <c r="AR65" t="s">
        <v>74</v>
      </c>
      <c r="AS65" t="s">
        <v>74</v>
      </c>
      <c r="AT65" t="s">
        <v>561</v>
      </c>
      <c r="AU65">
        <v>2022</v>
      </c>
      <c r="AV65">
        <v>275</v>
      </c>
      <c r="AW65" t="s">
        <v>74</v>
      </c>
      <c r="AX65" t="s">
        <v>74</v>
      </c>
      <c r="AY65" t="s">
        <v>74</v>
      </c>
      <c r="AZ65" t="s">
        <v>74</v>
      </c>
      <c r="BA65" t="s">
        <v>74</v>
      </c>
      <c r="BB65" t="s">
        <v>74</v>
      </c>
      <c r="BC65" t="s">
        <v>74</v>
      </c>
      <c r="BD65">
        <v>113017</v>
      </c>
      <c r="BE65" t="s">
        <v>562</v>
      </c>
      <c r="BF65" t="str">
        <f>HYPERLINK("http://dx.doi.org/10.1016/j.rse.2022.113017","http://dx.doi.org/10.1016/j.rse.2022.113017")</f>
        <v>http://dx.doi.org/10.1016/j.rse.2022.113017</v>
      </c>
      <c r="BG65" t="s">
        <v>74</v>
      </c>
      <c r="BH65" t="s">
        <v>563</v>
      </c>
      <c r="BI65" t="s">
        <v>74</v>
      </c>
      <c r="BJ65" t="s">
        <v>74</v>
      </c>
      <c r="BK65" t="s">
        <v>74</v>
      </c>
      <c r="BL65" t="s">
        <v>74</v>
      </c>
      <c r="BM65" t="s">
        <v>74</v>
      </c>
      <c r="BN65" t="s">
        <v>74</v>
      </c>
      <c r="BO65" t="s">
        <v>74</v>
      </c>
      <c r="BP65" t="s">
        <v>74</v>
      </c>
      <c r="BQ65" t="s">
        <v>74</v>
      </c>
      <c r="BR65" t="s">
        <v>74</v>
      </c>
      <c r="BS65" t="s">
        <v>564</v>
      </c>
      <c r="BT65" t="str">
        <f>HYPERLINK("https%3A%2F%2Fwww.webofscience.com%2Fwos%2Fwoscc%2Ffull-record%2FWOS:000798981000003","View Full Record in Web of Science")</f>
        <v>View Full Record in Web of Science</v>
      </c>
    </row>
    <row r="66" spans="1:72" x14ac:dyDescent="0.15">
      <c r="A66" t="s">
        <v>72</v>
      </c>
      <c r="B66" t="s">
        <v>565</v>
      </c>
      <c r="C66" t="s">
        <v>74</v>
      </c>
      <c r="D66" t="s">
        <v>74</v>
      </c>
      <c r="E66" t="s">
        <v>74</v>
      </c>
      <c r="F66" t="s">
        <v>566</v>
      </c>
      <c r="G66" t="s">
        <v>74</v>
      </c>
      <c r="H66" t="s">
        <v>74</v>
      </c>
      <c r="I66" t="s">
        <v>567</v>
      </c>
      <c r="J66" t="s">
        <v>568</v>
      </c>
      <c r="K66" t="s">
        <v>74</v>
      </c>
      <c r="L66" t="s">
        <v>74</v>
      </c>
      <c r="M66" t="s">
        <v>74</v>
      </c>
      <c r="N66" t="s">
        <v>74</v>
      </c>
      <c r="O66" t="s">
        <v>74</v>
      </c>
      <c r="P66" t="s">
        <v>74</v>
      </c>
      <c r="Q66" t="s">
        <v>74</v>
      </c>
      <c r="R66" t="s">
        <v>74</v>
      </c>
      <c r="S66" t="s">
        <v>74</v>
      </c>
      <c r="T66" t="s">
        <v>74</v>
      </c>
      <c r="U66" t="s">
        <v>74</v>
      </c>
      <c r="V66" t="s">
        <v>569</v>
      </c>
      <c r="W66" t="s">
        <v>74</v>
      </c>
      <c r="X66" t="s">
        <v>74</v>
      </c>
      <c r="Y66" t="s">
        <v>74</v>
      </c>
      <c r="Z66" t="s">
        <v>74</v>
      </c>
      <c r="AA66" t="s">
        <v>570</v>
      </c>
      <c r="AB66" t="s">
        <v>571</v>
      </c>
      <c r="AC66" t="s">
        <v>74</v>
      </c>
      <c r="AD66" t="s">
        <v>74</v>
      </c>
      <c r="AE66" t="s">
        <v>74</v>
      </c>
      <c r="AF66" t="s">
        <v>74</v>
      </c>
      <c r="AG66" t="s">
        <v>74</v>
      </c>
      <c r="AH66" t="s">
        <v>74</v>
      </c>
      <c r="AI66" t="s">
        <v>74</v>
      </c>
      <c r="AJ66" t="s">
        <v>74</v>
      </c>
      <c r="AK66" t="s">
        <v>74</v>
      </c>
      <c r="AL66" t="s">
        <v>74</v>
      </c>
      <c r="AM66" t="s">
        <v>74</v>
      </c>
      <c r="AN66" t="s">
        <v>74</v>
      </c>
      <c r="AO66" t="s">
        <v>572</v>
      </c>
      <c r="AP66" t="s">
        <v>573</v>
      </c>
      <c r="AQ66" t="s">
        <v>74</v>
      </c>
      <c r="AR66" t="s">
        <v>74</v>
      </c>
      <c r="AS66" t="s">
        <v>74</v>
      </c>
      <c r="AT66" t="s">
        <v>311</v>
      </c>
      <c r="AU66">
        <v>2022</v>
      </c>
      <c r="AV66">
        <v>160</v>
      </c>
      <c r="AW66" t="s">
        <v>74</v>
      </c>
      <c r="AX66" t="s">
        <v>74</v>
      </c>
      <c r="AY66" t="s">
        <v>74</v>
      </c>
      <c r="AZ66" t="s">
        <v>74</v>
      </c>
      <c r="BA66" t="s">
        <v>74</v>
      </c>
      <c r="BB66" t="s">
        <v>74</v>
      </c>
      <c r="BC66" t="s">
        <v>74</v>
      </c>
      <c r="BD66">
        <v>104075</v>
      </c>
      <c r="BE66" t="s">
        <v>574</v>
      </c>
      <c r="BF66" t="str">
        <f>HYPERLINK("http://dx.doi.org/10.1016/j.advwatres.2021.104075","http://dx.doi.org/10.1016/j.advwatres.2021.104075")</f>
        <v>http://dx.doi.org/10.1016/j.advwatres.2021.104075</v>
      </c>
      <c r="BG66" t="s">
        <v>74</v>
      </c>
      <c r="BH66" t="s">
        <v>575</v>
      </c>
      <c r="BI66" t="s">
        <v>74</v>
      </c>
      <c r="BJ66" t="s">
        <v>74</v>
      </c>
      <c r="BK66" t="s">
        <v>74</v>
      </c>
      <c r="BL66" t="s">
        <v>74</v>
      </c>
      <c r="BM66" t="s">
        <v>74</v>
      </c>
      <c r="BN66" t="s">
        <v>74</v>
      </c>
      <c r="BO66" t="s">
        <v>74</v>
      </c>
      <c r="BP66" t="s">
        <v>74</v>
      </c>
      <c r="BQ66" t="s">
        <v>74</v>
      </c>
      <c r="BR66" t="s">
        <v>74</v>
      </c>
      <c r="BS66" t="s">
        <v>576</v>
      </c>
      <c r="BT66" t="str">
        <f>HYPERLINK("https%3A%2F%2Fwww.webofscience.com%2Fwos%2Fwoscc%2Ffull-record%2FWOS:000788071300005","View Full Record in Web of Science")</f>
        <v>View Full Record in Web of Science</v>
      </c>
    </row>
    <row r="67" spans="1:72" x14ac:dyDescent="0.15">
      <c r="A67" t="s">
        <v>252</v>
      </c>
      <c r="B67" t="s">
        <v>1302</v>
      </c>
      <c r="C67" t="s">
        <v>74</v>
      </c>
      <c r="D67" t="s">
        <v>74</v>
      </c>
      <c r="E67" t="s">
        <v>254</v>
      </c>
      <c r="F67" t="s">
        <v>1303</v>
      </c>
      <c r="G67" t="s">
        <v>74</v>
      </c>
      <c r="H67" t="s">
        <v>74</v>
      </c>
      <c r="I67" t="s">
        <v>1304</v>
      </c>
      <c r="J67" t="s">
        <v>580</v>
      </c>
      <c r="K67" t="s">
        <v>258</v>
      </c>
      <c r="L67" t="s">
        <v>74</v>
      </c>
      <c r="M67" t="s">
        <v>74</v>
      </c>
      <c r="N67" t="s">
        <v>74</v>
      </c>
      <c r="O67" t="s">
        <v>388</v>
      </c>
      <c r="P67" t="s">
        <v>581</v>
      </c>
      <c r="Q67" t="s">
        <v>582</v>
      </c>
      <c r="R67" t="s">
        <v>254</v>
      </c>
      <c r="S67" t="s">
        <v>74</v>
      </c>
      <c r="T67" t="s">
        <v>74</v>
      </c>
      <c r="U67" t="s">
        <v>74</v>
      </c>
      <c r="V67" t="s">
        <v>1305</v>
      </c>
      <c r="W67" t="s">
        <v>74</v>
      </c>
      <c r="X67" t="s">
        <v>74</v>
      </c>
      <c r="Y67" t="s">
        <v>74</v>
      </c>
      <c r="Z67" t="s">
        <v>74</v>
      </c>
      <c r="AA67" t="s">
        <v>1306</v>
      </c>
      <c r="AB67" t="s">
        <v>1307</v>
      </c>
      <c r="AC67" t="s">
        <v>74</v>
      </c>
      <c r="AD67" t="s">
        <v>74</v>
      </c>
      <c r="AE67" t="s">
        <v>74</v>
      </c>
      <c r="AF67" t="s">
        <v>74</v>
      </c>
      <c r="AG67" t="s">
        <v>74</v>
      </c>
      <c r="AH67" t="s">
        <v>74</v>
      </c>
      <c r="AI67" t="s">
        <v>74</v>
      </c>
      <c r="AJ67" t="s">
        <v>74</v>
      </c>
      <c r="AK67" t="s">
        <v>74</v>
      </c>
      <c r="AL67" t="s">
        <v>74</v>
      </c>
      <c r="AM67" t="s">
        <v>74</v>
      </c>
      <c r="AN67" t="s">
        <v>74</v>
      </c>
      <c r="AO67" t="s">
        <v>265</v>
      </c>
      <c r="AP67" t="s">
        <v>74</v>
      </c>
      <c r="AQ67" t="s">
        <v>586</v>
      </c>
      <c r="AR67" t="s">
        <v>74</v>
      </c>
      <c r="AS67" t="s">
        <v>74</v>
      </c>
      <c r="AT67" t="s">
        <v>74</v>
      </c>
      <c r="AU67">
        <v>2022</v>
      </c>
      <c r="AV67" t="s">
        <v>74</v>
      </c>
      <c r="AW67" t="s">
        <v>74</v>
      </c>
      <c r="AX67" t="s">
        <v>74</v>
      </c>
      <c r="AY67" t="s">
        <v>74</v>
      </c>
      <c r="AZ67" t="s">
        <v>74</v>
      </c>
      <c r="BA67" t="s">
        <v>74</v>
      </c>
      <c r="BB67">
        <v>3856</v>
      </c>
      <c r="BC67">
        <v>3859</v>
      </c>
      <c r="BD67" t="s">
        <v>74</v>
      </c>
      <c r="BE67" t="s">
        <v>1308</v>
      </c>
      <c r="BF67" t="str">
        <f>HYPERLINK("http://dx.doi.org/10.1109/IGARSS46834.2022.9884177","http://dx.doi.org/10.1109/IGARSS46834.2022.9884177")</f>
        <v>http://dx.doi.org/10.1109/IGARSS46834.2022.9884177</v>
      </c>
      <c r="BG67" t="s">
        <v>74</v>
      </c>
      <c r="BH67" t="s">
        <v>74</v>
      </c>
      <c r="BI67" t="s">
        <v>74</v>
      </c>
      <c r="BJ67" t="s">
        <v>74</v>
      </c>
      <c r="BK67" t="s">
        <v>74</v>
      </c>
      <c r="BL67" t="s">
        <v>74</v>
      </c>
      <c r="BM67" t="s">
        <v>74</v>
      </c>
      <c r="BN67" t="s">
        <v>74</v>
      </c>
      <c r="BO67" t="s">
        <v>74</v>
      </c>
      <c r="BP67" t="s">
        <v>74</v>
      </c>
      <c r="BQ67" t="s">
        <v>74</v>
      </c>
      <c r="BR67" t="s">
        <v>74</v>
      </c>
      <c r="BS67" t="s">
        <v>1309</v>
      </c>
      <c r="BT67" t="str">
        <f>HYPERLINK("https%3A%2F%2Fwww.webofscience.com%2Fwos%2Fwoscc%2Ffull-record%2FWOS:000920916604007","View Full Record in Web of Science")</f>
        <v>View Full Record in Web of Science</v>
      </c>
    </row>
    <row r="68" spans="1:72" x14ac:dyDescent="0.15">
      <c r="A68" t="s">
        <v>72</v>
      </c>
      <c r="B68" t="s">
        <v>1310</v>
      </c>
      <c r="C68" t="s">
        <v>74</v>
      </c>
      <c r="D68" t="s">
        <v>74</v>
      </c>
      <c r="E68" t="s">
        <v>74</v>
      </c>
      <c r="F68" t="s">
        <v>1311</v>
      </c>
      <c r="G68" t="s">
        <v>74</v>
      </c>
      <c r="H68" t="s">
        <v>74</v>
      </c>
      <c r="I68" t="s">
        <v>1312</v>
      </c>
      <c r="J68" t="s">
        <v>96</v>
      </c>
      <c r="K68" t="s">
        <v>74</v>
      </c>
      <c r="L68" t="s">
        <v>74</v>
      </c>
      <c r="M68" t="s">
        <v>74</v>
      </c>
      <c r="N68" t="s">
        <v>74</v>
      </c>
      <c r="O68" t="s">
        <v>74</v>
      </c>
      <c r="P68" t="s">
        <v>74</v>
      </c>
      <c r="Q68" t="s">
        <v>74</v>
      </c>
      <c r="R68" t="s">
        <v>74</v>
      </c>
      <c r="S68" t="s">
        <v>74</v>
      </c>
      <c r="T68" t="s">
        <v>74</v>
      </c>
      <c r="U68" t="s">
        <v>74</v>
      </c>
      <c r="V68" t="s">
        <v>1313</v>
      </c>
      <c r="W68" t="s">
        <v>74</v>
      </c>
      <c r="X68" t="s">
        <v>74</v>
      </c>
      <c r="Y68" t="s">
        <v>74</v>
      </c>
      <c r="Z68" t="s">
        <v>74</v>
      </c>
      <c r="AA68" t="s">
        <v>1314</v>
      </c>
      <c r="AB68" t="s">
        <v>1315</v>
      </c>
      <c r="AC68" t="s">
        <v>74</v>
      </c>
      <c r="AD68" t="s">
        <v>74</v>
      </c>
      <c r="AE68" t="s">
        <v>74</v>
      </c>
      <c r="AF68" t="s">
        <v>74</v>
      </c>
      <c r="AG68" t="s">
        <v>74</v>
      </c>
      <c r="AH68" t="s">
        <v>74</v>
      </c>
      <c r="AI68" t="s">
        <v>74</v>
      </c>
      <c r="AJ68" t="s">
        <v>74</v>
      </c>
      <c r="AK68" t="s">
        <v>74</v>
      </c>
      <c r="AL68" t="s">
        <v>74</v>
      </c>
      <c r="AM68" t="s">
        <v>74</v>
      </c>
      <c r="AN68" t="s">
        <v>74</v>
      </c>
      <c r="AO68" t="s">
        <v>99</v>
      </c>
      <c r="AP68" t="s">
        <v>100</v>
      </c>
      <c r="AQ68" t="s">
        <v>74</v>
      </c>
      <c r="AR68" t="s">
        <v>74</v>
      </c>
      <c r="AS68" t="s">
        <v>74</v>
      </c>
      <c r="AT68" t="s">
        <v>74</v>
      </c>
      <c r="AU68">
        <v>2022</v>
      </c>
      <c r="AV68">
        <v>60</v>
      </c>
      <c r="AW68" t="s">
        <v>74</v>
      </c>
      <c r="AX68" t="s">
        <v>74</v>
      </c>
      <c r="AY68" t="s">
        <v>74</v>
      </c>
      <c r="AZ68" t="s">
        <v>74</v>
      </c>
      <c r="BA68" t="s">
        <v>74</v>
      </c>
      <c r="BB68" t="s">
        <v>74</v>
      </c>
      <c r="BC68" t="s">
        <v>74</v>
      </c>
      <c r="BD68">
        <v>4303415</v>
      </c>
      <c r="BE68" t="s">
        <v>1316</v>
      </c>
      <c r="BF68" t="str">
        <f>HYPERLINK("http://dx.doi.org/10.1109/TGRS.2021.3134695","http://dx.doi.org/10.1109/TGRS.2021.3134695")</f>
        <v>http://dx.doi.org/10.1109/TGRS.2021.3134695</v>
      </c>
      <c r="BG68" t="s">
        <v>74</v>
      </c>
      <c r="BH68" t="s">
        <v>74</v>
      </c>
      <c r="BI68" t="s">
        <v>74</v>
      </c>
      <c r="BJ68" t="s">
        <v>74</v>
      </c>
      <c r="BK68" t="s">
        <v>74</v>
      </c>
      <c r="BL68" t="s">
        <v>74</v>
      </c>
      <c r="BM68" t="s">
        <v>74</v>
      </c>
      <c r="BN68" t="s">
        <v>74</v>
      </c>
      <c r="BO68" t="s">
        <v>74</v>
      </c>
      <c r="BP68" t="s">
        <v>74</v>
      </c>
      <c r="BQ68" t="s">
        <v>74</v>
      </c>
      <c r="BR68" t="s">
        <v>74</v>
      </c>
      <c r="BS68" t="s">
        <v>1317</v>
      </c>
      <c r="BT68" t="str">
        <f>HYPERLINK("https%3A%2F%2Fwww.webofscience.com%2Fwos%2Fwoscc%2Ffull-record%2FWOS:000766298800027","View Full Record in Web of Science")</f>
        <v>View Full Record in Web of Science</v>
      </c>
    </row>
    <row r="69" spans="1:72" x14ac:dyDescent="0.15">
      <c r="A69" t="s">
        <v>72</v>
      </c>
      <c r="B69" t="s">
        <v>1318</v>
      </c>
      <c r="C69" t="s">
        <v>74</v>
      </c>
      <c r="D69" t="s">
        <v>74</v>
      </c>
      <c r="E69" t="s">
        <v>74</v>
      </c>
      <c r="F69" t="s">
        <v>1319</v>
      </c>
      <c r="G69" t="s">
        <v>74</v>
      </c>
      <c r="H69" t="s">
        <v>74</v>
      </c>
      <c r="I69" t="s">
        <v>1320</v>
      </c>
      <c r="J69" t="s">
        <v>96</v>
      </c>
      <c r="K69" t="s">
        <v>74</v>
      </c>
      <c r="L69" t="s">
        <v>74</v>
      </c>
      <c r="M69" t="s">
        <v>74</v>
      </c>
      <c r="N69" t="s">
        <v>74</v>
      </c>
      <c r="O69" t="s">
        <v>74</v>
      </c>
      <c r="P69" t="s">
        <v>74</v>
      </c>
      <c r="Q69" t="s">
        <v>74</v>
      </c>
      <c r="R69" t="s">
        <v>74</v>
      </c>
      <c r="S69" t="s">
        <v>74</v>
      </c>
      <c r="T69" t="s">
        <v>74</v>
      </c>
      <c r="U69" t="s">
        <v>74</v>
      </c>
      <c r="V69" t="s">
        <v>1321</v>
      </c>
      <c r="W69" t="s">
        <v>74</v>
      </c>
      <c r="X69" t="s">
        <v>74</v>
      </c>
      <c r="Y69" t="s">
        <v>74</v>
      </c>
      <c r="Z69" t="s">
        <v>74</v>
      </c>
      <c r="AA69" t="s">
        <v>1322</v>
      </c>
      <c r="AB69" t="s">
        <v>1323</v>
      </c>
      <c r="AC69" t="s">
        <v>74</v>
      </c>
      <c r="AD69" t="s">
        <v>74</v>
      </c>
      <c r="AE69" t="s">
        <v>74</v>
      </c>
      <c r="AF69" t="s">
        <v>74</v>
      </c>
      <c r="AG69" t="s">
        <v>74</v>
      </c>
      <c r="AH69" t="s">
        <v>74</v>
      </c>
      <c r="AI69" t="s">
        <v>74</v>
      </c>
      <c r="AJ69" t="s">
        <v>74</v>
      </c>
      <c r="AK69" t="s">
        <v>74</v>
      </c>
      <c r="AL69" t="s">
        <v>74</v>
      </c>
      <c r="AM69" t="s">
        <v>74</v>
      </c>
      <c r="AN69" t="s">
        <v>74</v>
      </c>
      <c r="AO69" t="s">
        <v>99</v>
      </c>
      <c r="AP69" t="s">
        <v>100</v>
      </c>
      <c r="AQ69" t="s">
        <v>74</v>
      </c>
      <c r="AR69" t="s">
        <v>74</v>
      </c>
      <c r="AS69" t="s">
        <v>74</v>
      </c>
      <c r="AT69" t="s">
        <v>74</v>
      </c>
      <c r="AU69">
        <v>2022</v>
      </c>
      <c r="AV69">
        <v>60</v>
      </c>
      <c r="AW69" t="s">
        <v>74</v>
      </c>
      <c r="AX69" t="s">
        <v>74</v>
      </c>
      <c r="AY69" t="s">
        <v>74</v>
      </c>
      <c r="AZ69" t="s">
        <v>74</v>
      </c>
      <c r="BA69" t="s">
        <v>74</v>
      </c>
      <c r="BB69" t="s">
        <v>74</v>
      </c>
      <c r="BC69" t="s">
        <v>74</v>
      </c>
      <c r="BD69">
        <v>4304914</v>
      </c>
      <c r="BE69" t="s">
        <v>1324</v>
      </c>
      <c r="BF69" t="str">
        <f>HYPERLINK("http://dx.doi.org/10.1109/TGRS.2022.3178421","http://dx.doi.org/10.1109/TGRS.2022.3178421")</f>
        <v>http://dx.doi.org/10.1109/TGRS.2022.3178421</v>
      </c>
      <c r="BG69" t="s">
        <v>74</v>
      </c>
      <c r="BH69" t="s">
        <v>74</v>
      </c>
      <c r="BI69" t="s">
        <v>74</v>
      </c>
      <c r="BJ69" t="s">
        <v>74</v>
      </c>
      <c r="BK69" t="s">
        <v>74</v>
      </c>
      <c r="BL69" t="s">
        <v>74</v>
      </c>
      <c r="BM69" t="s">
        <v>74</v>
      </c>
      <c r="BN69" t="s">
        <v>74</v>
      </c>
      <c r="BO69" t="s">
        <v>74</v>
      </c>
      <c r="BP69" t="s">
        <v>74</v>
      </c>
      <c r="BQ69" t="s">
        <v>74</v>
      </c>
      <c r="BR69" t="s">
        <v>74</v>
      </c>
      <c r="BS69" t="s">
        <v>1325</v>
      </c>
      <c r="BT69" t="str">
        <f>HYPERLINK("https%3A%2F%2Fwww.webofscience.com%2Fwos%2Fwoscc%2Ffull-record%2FWOS:000809416400004","View Full Record in Web of Science")</f>
        <v>View Full Record in Web of Science</v>
      </c>
    </row>
    <row r="70" spans="1:72" x14ac:dyDescent="0.15">
      <c r="A70" t="s">
        <v>72</v>
      </c>
      <c r="B70" t="s">
        <v>1326</v>
      </c>
      <c r="C70" t="s">
        <v>74</v>
      </c>
      <c r="D70" t="s">
        <v>74</v>
      </c>
      <c r="E70" t="s">
        <v>74</v>
      </c>
      <c r="F70" t="s">
        <v>1327</v>
      </c>
      <c r="G70" t="s">
        <v>74</v>
      </c>
      <c r="H70" t="s">
        <v>74</v>
      </c>
      <c r="I70" t="s">
        <v>1328</v>
      </c>
      <c r="J70" t="s">
        <v>96</v>
      </c>
      <c r="K70" t="s">
        <v>74</v>
      </c>
      <c r="L70" t="s">
        <v>74</v>
      </c>
      <c r="M70" t="s">
        <v>74</v>
      </c>
      <c r="N70" t="s">
        <v>74</v>
      </c>
      <c r="O70" t="s">
        <v>74</v>
      </c>
      <c r="P70" t="s">
        <v>74</v>
      </c>
      <c r="Q70" t="s">
        <v>74</v>
      </c>
      <c r="R70" t="s">
        <v>74</v>
      </c>
      <c r="S70" t="s">
        <v>74</v>
      </c>
      <c r="T70" t="s">
        <v>74</v>
      </c>
      <c r="U70" t="s">
        <v>74</v>
      </c>
      <c r="V70" t="s">
        <v>1329</v>
      </c>
      <c r="W70" t="s">
        <v>74</v>
      </c>
      <c r="X70" t="s">
        <v>74</v>
      </c>
      <c r="Y70" t="s">
        <v>74</v>
      </c>
      <c r="Z70" t="s">
        <v>74</v>
      </c>
      <c r="AA70" t="s">
        <v>1330</v>
      </c>
      <c r="AB70" t="s">
        <v>1331</v>
      </c>
      <c r="AC70" t="s">
        <v>74</v>
      </c>
      <c r="AD70" t="s">
        <v>74</v>
      </c>
      <c r="AE70" t="s">
        <v>74</v>
      </c>
      <c r="AF70" t="s">
        <v>74</v>
      </c>
      <c r="AG70" t="s">
        <v>74</v>
      </c>
      <c r="AH70" t="s">
        <v>74</v>
      </c>
      <c r="AI70" t="s">
        <v>74</v>
      </c>
      <c r="AJ70" t="s">
        <v>74</v>
      </c>
      <c r="AK70" t="s">
        <v>74</v>
      </c>
      <c r="AL70" t="s">
        <v>74</v>
      </c>
      <c r="AM70" t="s">
        <v>74</v>
      </c>
      <c r="AN70" t="s">
        <v>74</v>
      </c>
      <c r="AO70" t="s">
        <v>99</v>
      </c>
      <c r="AP70" t="s">
        <v>100</v>
      </c>
      <c r="AQ70" t="s">
        <v>74</v>
      </c>
      <c r="AR70" t="s">
        <v>74</v>
      </c>
      <c r="AS70" t="s">
        <v>74</v>
      </c>
      <c r="AT70" t="s">
        <v>74</v>
      </c>
      <c r="AU70">
        <v>2022</v>
      </c>
      <c r="AV70">
        <v>60</v>
      </c>
      <c r="AW70" t="s">
        <v>74</v>
      </c>
      <c r="AX70" t="s">
        <v>74</v>
      </c>
      <c r="AY70" t="s">
        <v>74</v>
      </c>
      <c r="AZ70" t="s">
        <v>74</v>
      </c>
      <c r="BA70" t="s">
        <v>74</v>
      </c>
      <c r="BB70" t="s">
        <v>74</v>
      </c>
      <c r="BC70" t="s">
        <v>74</v>
      </c>
      <c r="BD70" t="s">
        <v>74</v>
      </c>
      <c r="BE70" t="s">
        <v>1332</v>
      </c>
      <c r="BF70" t="str">
        <f>HYPERLINK("http://dx.doi.org/10.1109/TGRS.2022.3198508","http://dx.doi.org/10.1109/TGRS.2022.3198508")</f>
        <v>http://dx.doi.org/10.1109/TGRS.2022.3198508</v>
      </c>
      <c r="BG70" t="s">
        <v>74</v>
      </c>
      <c r="BH70" t="s">
        <v>74</v>
      </c>
      <c r="BI70" t="s">
        <v>74</v>
      </c>
      <c r="BJ70" t="s">
        <v>74</v>
      </c>
      <c r="BK70" t="s">
        <v>74</v>
      </c>
      <c r="BL70" t="s">
        <v>74</v>
      </c>
      <c r="BM70" t="s">
        <v>74</v>
      </c>
      <c r="BN70" t="s">
        <v>74</v>
      </c>
      <c r="BO70" t="s">
        <v>74</v>
      </c>
      <c r="BP70" t="s">
        <v>74</v>
      </c>
      <c r="BQ70" t="s">
        <v>74</v>
      </c>
      <c r="BR70" t="s">
        <v>74</v>
      </c>
      <c r="BS70" t="s">
        <v>1333</v>
      </c>
      <c r="BT70" t="str">
        <f>HYPERLINK("https%3A%2F%2Fwww.webofscience.com%2Fwos%2Fwoscc%2Ffull-record%2FWOS:000849855100006","View Full Record in Web of Science")</f>
        <v>View Full Record in Web of Science</v>
      </c>
    </row>
    <row r="71" spans="1:72" x14ac:dyDescent="0.15">
      <c r="A71" t="s">
        <v>252</v>
      </c>
      <c r="B71" t="s">
        <v>1334</v>
      </c>
      <c r="C71" t="s">
        <v>74</v>
      </c>
      <c r="D71" t="s">
        <v>74</v>
      </c>
      <c r="E71" t="s">
        <v>254</v>
      </c>
      <c r="F71" t="s">
        <v>1335</v>
      </c>
      <c r="G71" t="s">
        <v>74</v>
      </c>
      <c r="H71" t="s">
        <v>74</v>
      </c>
      <c r="I71" t="s">
        <v>1336</v>
      </c>
      <c r="J71" t="s">
        <v>1337</v>
      </c>
      <c r="K71" t="s">
        <v>1338</v>
      </c>
      <c r="L71" t="s">
        <v>74</v>
      </c>
      <c r="M71" t="s">
        <v>74</v>
      </c>
      <c r="N71" t="s">
        <v>74</v>
      </c>
      <c r="O71" t="s">
        <v>1339</v>
      </c>
      <c r="P71" t="s">
        <v>1340</v>
      </c>
      <c r="Q71" t="s">
        <v>1341</v>
      </c>
      <c r="R71" t="s">
        <v>1342</v>
      </c>
      <c r="S71" t="s">
        <v>1343</v>
      </c>
      <c r="T71" t="s">
        <v>74</v>
      </c>
      <c r="U71" t="s">
        <v>74</v>
      </c>
      <c r="V71" t="s">
        <v>1344</v>
      </c>
      <c r="W71" t="s">
        <v>74</v>
      </c>
      <c r="X71" t="s">
        <v>74</v>
      </c>
      <c r="Y71" t="s">
        <v>74</v>
      </c>
      <c r="Z71" t="s">
        <v>74</v>
      </c>
      <c r="AA71" t="s">
        <v>1345</v>
      </c>
      <c r="AB71" t="s">
        <v>1346</v>
      </c>
      <c r="AC71" t="s">
        <v>74</v>
      </c>
      <c r="AD71" t="s">
        <v>74</v>
      </c>
      <c r="AE71" t="s">
        <v>74</v>
      </c>
      <c r="AF71" t="s">
        <v>74</v>
      </c>
      <c r="AG71" t="s">
        <v>74</v>
      </c>
      <c r="AH71" t="s">
        <v>74</v>
      </c>
      <c r="AI71" t="s">
        <v>74</v>
      </c>
      <c r="AJ71" t="s">
        <v>74</v>
      </c>
      <c r="AK71" t="s">
        <v>74</v>
      </c>
      <c r="AL71" t="s">
        <v>74</v>
      </c>
      <c r="AM71" t="s">
        <v>74</v>
      </c>
      <c r="AN71" t="s">
        <v>74</v>
      </c>
      <c r="AO71" t="s">
        <v>1347</v>
      </c>
      <c r="AP71" t="s">
        <v>74</v>
      </c>
      <c r="AQ71" t="s">
        <v>1348</v>
      </c>
      <c r="AR71" t="s">
        <v>74</v>
      </c>
      <c r="AS71" t="s">
        <v>74</v>
      </c>
      <c r="AT71" t="s">
        <v>74</v>
      </c>
      <c r="AU71">
        <v>2022</v>
      </c>
      <c r="AV71" t="s">
        <v>74</v>
      </c>
      <c r="AW71" t="s">
        <v>74</v>
      </c>
      <c r="AX71" t="s">
        <v>74</v>
      </c>
      <c r="AY71" t="s">
        <v>74</v>
      </c>
      <c r="AZ71" t="s">
        <v>74</v>
      </c>
      <c r="BA71" t="s">
        <v>74</v>
      </c>
      <c r="BB71" t="s">
        <v>74</v>
      </c>
      <c r="BC71" t="s">
        <v>74</v>
      </c>
      <c r="BD71" t="s">
        <v>74</v>
      </c>
      <c r="BE71" t="s">
        <v>1349</v>
      </c>
      <c r="BF71" t="str">
        <f>HYPERLINK("http://dx.doi.org/10.1109/INDICON56171.2022.10040153","http://dx.doi.org/10.1109/INDICON56171.2022.10040153")</f>
        <v>http://dx.doi.org/10.1109/INDICON56171.2022.10040153</v>
      </c>
      <c r="BG71" t="s">
        <v>74</v>
      </c>
      <c r="BH71" t="s">
        <v>74</v>
      </c>
      <c r="BI71" t="s">
        <v>74</v>
      </c>
      <c r="BJ71" t="s">
        <v>74</v>
      </c>
      <c r="BK71" t="s">
        <v>74</v>
      </c>
      <c r="BL71" t="s">
        <v>74</v>
      </c>
      <c r="BM71" t="s">
        <v>74</v>
      </c>
      <c r="BN71" t="s">
        <v>74</v>
      </c>
      <c r="BO71" t="s">
        <v>74</v>
      </c>
      <c r="BP71" t="s">
        <v>74</v>
      </c>
      <c r="BQ71" t="s">
        <v>74</v>
      </c>
      <c r="BR71" t="s">
        <v>74</v>
      </c>
      <c r="BS71" t="s">
        <v>1350</v>
      </c>
      <c r="BT71" t="str">
        <f>HYPERLINK("https%3A%2F%2Fwww.webofscience.com%2Fwos%2Fwoscc%2Ffull-record%2FWOS:000978286100395","View Full Record in Web of Science")</f>
        <v>View Full Record in Web of Science</v>
      </c>
    </row>
    <row r="72" spans="1:72" x14ac:dyDescent="0.15">
      <c r="A72" t="s">
        <v>252</v>
      </c>
      <c r="B72" t="s">
        <v>1351</v>
      </c>
      <c r="C72" t="s">
        <v>74</v>
      </c>
      <c r="D72" t="s">
        <v>74</v>
      </c>
      <c r="E72" t="s">
        <v>254</v>
      </c>
      <c r="F72" t="s">
        <v>1352</v>
      </c>
      <c r="G72" t="s">
        <v>74</v>
      </c>
      <c r="H72" t="s">
        <v>74</v>
      </c>
      <c r="I72" t="s">
        <v>1353</v>
      </c>
      <c r="J72" t="s">
        <v>580</v>
      </c>
      <c r="K72" t="s">
        <v>258</v>
      </c>
      <c r="L72" t="s">
        <v>74</v>
      </c>
      <c r="M72" t="s">
        <v>74</v>
      </c>
      <c r="N72" t="s">
        <v>74</v>
      </c>
      <c r="O72" t="s">
        <v>388</v>
      </c>
      <c r="P72" t="s">
        <v>581</v>
      </c>
      <c r="Q72" t="s">
        <v>582</v>
      </c>
      <c r="R72" t="s">
        <v>254</v>
      </c>
      <c r="S72" t="s">
        <v>74</v>
      </c>
      <c r="T72" t="s">
        <v>74</v>
      </c>
      <c r="U72" t="s">
        <v>74</v>
      </c>
      <c r="V72" t="s">
        <v>1354</v>
      </c>
      <c r="W72" t="s">
        <v>74</v>
      </c>
      <c r="X72" t="s">
        <v>74</v>
      </c>
      <c r="Y72" t="s">
        <v>74</v>
      </c>
      <c r="Z72" t="s">
        <v>74</v>
      </c>
      <c r="AA72" t="s">
        <v>1355</v>
      </c>
      <c r="AB72" t="s">
        <v>74</v>
      </c>
      <c r="AC72" t="s">
        <v>74</v>
      </c>
      <c r="AD72" t="s">
        <v>74</v>
      </c>
      <c r="AE72" t="s">
        <v>74</v>
      </c>
      <c r="AF72" t="s">
        <v>74</v>
      </c>
      <c r="AG72" t="s">
        <v>74</v>
      </c>
      <c r="AH72" t="s">
        <v>74</v>
      </c>
      <c r="AI72" t="s">
        <v>74</v>
      </c>
      <c r="AJ72" t="s">
        <v>74</v>
      </c>
      <c r="AK72" t="s">
        <v>74</v>
      </c>
      <c r="AL72" t="s">
        <v>74</v>
      </c>
      <c r="AM72" t="s">
        <v>74</v>
      </c>
      <c r="AN72" t="s">
        <v>74</v>
      </c>
      <c r="AO72" t="s">
        <v>265</v>
      </c>
      <c r="AP72" t="s">
        <v>74</v>
      </c>
      <c r="AQ72" t="s">
        <v>586</v>
      </c>
      <c r="AR72" t="s">
        <v>74</v>
      </c>
      <c r="AS72" t="s">
        <v>74</v>
      </c>
      <c r="AT72" t="s">
        <v>74</v>
      </c>
      <c r="AU72">
        <v>2022</v>
      </c>
      <c r="AV72" t="s">
        <v>74</v>
      </c>
      <c r="AW72" t="s">
        <v>74</v>
      </c>
      <c r="AX72" t="s">
        <v>74</v>
      </c>
      <c r="AY72" t="s">
        <v>74</v>
      </c>
      <c r="AZ72" t="s">
        <v>74</v>
      </c>
      <c r="BA72" t="s">
        <v>74</v>
      </c>
      <c r="BB72">
        <v>3931</v>
      </c>
      <c r="BC72">
        <v>3934</v>
      </c>
      <c r="BD72" t="s">
        <v>74</v>
      </c>
      <c r="BE72" t="s">
        <v>1356</v>
      </c>
      <c r="BF72" t="str">
        <f>HYPERLINK("http://dx.doi.org/10.1109/IGARSS46834.2022.9884679","http://dx.doi.org/10.1109/IGARSS46834.2022.9884679")</f>
        <v>http://dx.doi.org/10.1109/IGARSS46834.2022.9884679</v>
      </c>
      <c r="BG72" t="s">
        <v>74</v>
      </c>
      <c r="BH72" t="s">
        <v>74</v>
      </c>
      <c r="BI72" t="s">
        <v>74</v>
      </c>
      <c r="BJ72" t="s">
        <v>74</v>
      </c>
      <c r="BK72" t="s">
        <v>74</v>
      </c>
      <c r="BL72" t="s">
        <v>74</v>
      </c>
      <c r="BM72" t="s">
        <v>74</v>
      </c>
      <c r="BN72" t="s">
        <v>74</v>
      </c>
      <c r="BO72" t="s">
        <v>74</v>
      </c>
      <c r="BP72" t="s">
        <v>74</v>
      </c>
      <c r="BQ72" t="s">
        <v>74</v>
      </c>
      <c r="BR72" t="s">
        <v>74</v>
      </c>
      <c r="BS72" t="s">
        <v>1357</v>
      </c>
      <c r="BT72" t="str">
        <f>HYPERLINK("https%3A%2F%2Fwww.webofscience.com%2Fwos%2Fwoscc%2Ffull-record%2FWOS:000920916604025","View Full Record in Web of Science")</f>
        <v>View Full Record in Web of Science</v>
      </c>
    </row>
    <row r="73" spans="1:72" x14ac:dyDescent="0.15">
      <c r="A73" t="s">
        <v>72</v>
      </c>
      <c r="B73" t="s">
        <v>612</v>
      </c>
      <c r="C73" t="s">
        <v>74</v>
      </c>
      <c r="D73" t="s">
        <v>74</v>
      </c>
      <c r="E73" t="s">
        <v>74</v>
      </c>
      <c r="F73" t="s">
        <v>613</v>
      </c>
      <c r="G73" t="s">
        <v>74</v>
      </c>
      <c r="H73" t="s">
        <v>74</v>
      </c>
      <c r="I73" t="s">
        <v>614</v>
      </c>
      <c r="J73" t="s">
        <v>450</v>
      </c>
      <c r="K73" t="s">
        <v>74</v>
      </c>
      <c r="L73" t="s">
        <v>74</v>
      </c>
      <c r="M73" t="s">
        <v>74</v>
      </c>
      <c r="N73" t="s">
        <v>74</v>
      </c>
      <c r="O73" t="s">
        <v>74</v>
      </c>
      <c r="P73" t="s">
        <v>74</v>
      </c>
      <c r="Q73" t="s">
        <v>74</v>
      </c>
      <c r="R73" t="s">
        <v>74</v>
      </c>
      <c r="S73" t="s">
        <v>74</v>
      </c>
      <c r="T73" t="s">
        <v>74</v>
      </c>
      <c r="U73" t="s">
        <v>74</v>
      </c>
      <c r="V73" t="s">
        <v>615</v>
      </c>
      <c r="W73" t="s">
        <v>74</v>
      </c>
      <c r="X73" t="s">
        <v>74</v>
      </c>
      <c r="Y73" t="s">
        <v>74</v>
      </c>
      <c r="Z73" t="s">
        <v>74</v>
      </c>
      <c r="AA73" t="s">
        <v>616</v>
      </c>
      <c r="AB73" t="s">
        <v>617</v>
      </c>
      <c r="AC73" t="s">
        <v>74</v>
      </c>
      <c r="AD73" t="s">
        <v>74</v>
      </c>
      <c r="AE73" t="s">
        <v>74</v>
      </c>
      <c r="AF73" t="s">
        <v>74</v>
      </c>
      <c r="AG73" t="s">
        <v>74</v>
      </c>
      <c r="AH73" t="s">
        <v>74</v>
      </c>
      <c r="AI73" t="s">
        <v>74</v>
      </c>
      <c r="AJ73" t="s">
        <v>74</v>
      </c>
      <c r="AK73" t="s">
        <v>74</v>
      </c>
      <c r="AL73" t="s">
        <v>74</v>
      </c>
      <c r="AM73" t="s">
        <v>74</v>
      </c>
      <c r="AN73" t="s">
        <v>74</v>
      </c>
      <c r="AO73" t="s">
        <v>454</v>
      </c>
      <c r="AP73" t="s">
        <v>455</v>
      </c>
      <c r="AQ73" t="s">
        <v>74</v>
      </c>
      <c r="AR73" t="s">
        <v>74</v>
      </c>
      <c r="AS73" t="s">
        <v>74</v>
      </c>
      <c r="AT73" t="s">
        <v>74</v>
      </c>
      <c r="AU73">
        <v>2022</v>
      </c>
      <c r="AV73">
        <v>19</v>
      </c>
      <c r="AW73" t="s">
        <v>74</v>
      </c>
      <c r="AX73" t="s">
        <v>74</v>
      </c>
      <c r="AY73" t="s">
        <v>74</v>
      </c>
      <c r="AZ73" t="s">
        <v>74</v>
      </c>
      <c r="BA73" t="s">
        <v>74</v>
      </c>
      <c r="BB73" t="s">
        <v>74</v>
      </c>
      <c r="BC73" t="s">
        <v>74</v>
      </c>
      <c r="BD73">
        <v>2001305</v>
      </c>
      <c r="BE73" t="s">
        <v>618</v>
      </c>
      <c r="BF73" t="str">
        <f>HYPERLINK("http://dx.doi.org/10.1109/LGRS.2022.3196135","http://dx.doi.org/10.1109/LGRS.2022.3196135")</f>
        <v>http://dx.doi.org/10.1109/LGRS.2022.3196135</v>
      </c>
      <c r="BG73" t="s">
        <v>74</v>
      </c>
      <c r="BH73" t="s">
        <v>74</v>
      </c>
      <c r="BI73" t="s">
        <v>74</v>
      </c>
      <c r="BJ73" t="s">
        <v>74</v>
      </c>
      <c r="BK73" t="s">
        <v>74</v>
      </c>
      <c r="BL73" t="s">
        <v>74</v>
      </c>
      <c r="BM73" t="s">
        <v>74</v>
      </c>
      <c r="BN73" t="s">
        <v>74</v>
      </c>
      <c r="BO73" t="s">
        <v>74</v>
      </c>
      <c r="BP73" t="s">
        <v>74</v>
      </c>
      <c r="BQ73" t="s">
        <v>74</v>
      </c>
      <c r="BR73" t="s">
        <v>74</v>
      </c>
      <c r="BS73" t="s">
        <v>619</v>
      </c>
      <c r="BT73" t="str">
        <f>HYPERLINK("https%3A%2F%2Fwww.webofscience.com%2Fwos%2Fwoscc%2Ffull-record%2FWOS:000842059000007","View Full Record in Web of Science")</f>
        <v>View Full Record in Web of Science</v>
      </c>
    </row>
    <row r="74" spans="1:72" x14ac:dyDescent="0.15">
      <c r="A74" t="s">
        <v>72</v>
      </c>
      <c r="B74" t="s">
        <v>1358</v>
      </c>
      <c r="C74" t="s">
        <v>74</v>
      </c>
      <c r="D74" t="s">
        <v>74</v>
      </c>
      <c r="E74" t="s">
        <v>74</v>
      </c>
      <c r="F74" t="s">
        <v>1359</v>
      </c>
      <c r="G74" t="s">
        <v>74</v>
      </c>
      <c r="H74" t="s">
        <v>74</v>
      </c>
      <c r="I74" t="s">
        <v>1360</v>
      </c>
      <c r="J74" t="s">
        <v>96</v>
      </c>
      <c r="K74" t="s">
        <v>74</v>
      </c>
      <c r="L74" t="s">
        <v>74</v>
      </c>
      <c r="M74" t="s">
        <v>74</v>
      </c>
      <c r="N74" t="s">
        <v>74</v>
      </c>
      <c r="O74" t="s">
        <v>74</v>
      </c>
      <c r="P74" t="s">
        <v>74</v>
      </c>
      <c r="Q74" t="s">
        <v>74</v>
      </c>
      <c r="R74" t="s">
        <v>74</v>
      </c>
      <c r="S74" t="s">
        <v>74</v>
      </c>
      <c r="T74" t="s">
        <v>74</v>
      </c>
      <c r="U74" t="s">
        <v>74</v>
      </c>
      <c r="V74" t="s">
        <v>1361</v>
      </c>
      <c r="W74" t="s">
        <v>74</v>
      </c>
      <c r="X74" t="s">
        <v>74</v>
      </c>
      <c r="Y74" t="s">
        <v>74</v>
      </c>
      <c r="Z74" t="s">
        <v>74</v>
      </c>
      <c r="AA74" t="s">
        <v>1362</v>
      </c>
      <c r="AB74" t="s">
        <v>1363</v>
      </c>
      <c r="AC74" t="s">
        <v>74</v>
      </c>
      <c r="AD74" t="s">
        <v>74</v>
      </c>
      <c r="AE74" t="s">
        <v>74</v>
      </c>
      <c r="AF74" t="s">
        <v>74</v>
      </c>
      <c r="AG74" t="s">
        <v>74</v>
      </c>
      <c r="AH74" t="s">
        <v>74</v>
      </c>
      <c r="AI74" t="s">
        <v>74</v>
      </c>
      <c r="AJ74" t="s">
        <v>74</v>
      </c>
      <c r="AK74" t="s">
        <v>74</v>
      </c>
      <c r="AL74" t="s">
        <v>74</v>
      </c>
      <c r="AM74" t="s">
        <v>74</v>
      </c>
      <c r="AN74" t="s">
        <v>74</v>
      </c>
      <c r="AO74" t="s">
        <v>99</v>
      </c>
      <c r="AP74" t="s">
        <v>100</v>
      </c>
      <c r="AQ74" t="s">
        <v>74</v>
      </c>
      <c r="AR74" t="s">
        <v>74</v>
      </c>
      <c r="AS74" t="s">
        <v>74</v>
      </c>
      <c r="AT74" t="s">
        <v>74</v>
      </c>
      <c r="AU74">
        <v>2022</v>
      </c>
      <c r="AV74">
        <v>60</v>
      </c>
      <c r="AW74" t="s">
        <v>74</v>
      </c>
      <c r="AX74" t="s">
        <v>74</v>
      </c>
      <c r="AY74" t="s">
        <v>74</v>
      </c>
      <c r="AZ74" t="s">
        <v>74</v>
      </c>
      <c r="BA74" t="s">
        <v>74</v>
      </c>
      <c r="BB74" t="s">
        <v>74</v>
      </c>
      <c r="BC74" t="s">
        <v>74</v>
      </c>
      <c r="BD74">
        <v>4304215</v>
      </c>
      <c r="BE74" t="s">
        <v>1364</v>
      </c>
      <c r="BF74" t="str">
        <f>HYPERLINK("http://dx.doi.org/10.1109/TGRS.2021.3128524","http://dx.doi.org/10.1109/TGRS.2021.3128524")</f>
        <v>http://dx.doi.org/10.1109/TGRS.2021.3128524</v>
      </c>
      <c r="BG74" t="s">
        <v>74</v>
      </c>
      <c r="BH74" t="s">
        <v>74</v>
      </c>
      <c r="BI74" t="s">
        <v>74</v>
      </c>
      <c r="BJ74" t="s">
        <v>74</v>
      </c>
      <c r="BK74" t="s">
        <v>74</v>
      </c>
      <c r="BL74" t="s">
        <v>74</v>
      </c>
      <c r="BM74" t="s">
        <v>74</v>
      </c>
      <c r="BN74" t="s">
        <v>74</v>
      </c>
      <c r="BO74" t="s">
        <v>74</v>
      </c>
      <c r="BP74" t="s">
        <v>74</v>
      </c>
      <c r="BQ74" t="s">
        <v>74</v>
      </c>
      <c r="BR74" t="s">
        <v>74</v>
      </c>
      <c r="BS74" t="s">
        <v>1365</v>
      </c>
      <c r="BT74" t="str">
        <f>HYPERLINK("https%3A%2F%2Fwww.webofscience.com%2Fwos%2Fwoscc%2Ffull-record%2FWOS:000776203600024","View Full Record in Web of Science")</f>
        <v>View Full Record in Web of Science</v>
      </c>
    </row>
    <row r="75" spans="1:72" x14ac:dyDescent="0.15">
      <c r="A75" t="s">
        <v>72</v>
      </c>
      <c r="B75" t="s">
        <v>1366</v>
      </c>
      <c r="C75" t="s">
        <v>74</v>
      </c>
      <c r="D75" t="s">
        <v>74</v>
      </c>
      <c r="E75" t="s">
        <v>74</v>
      </c>
      <c r="F75" t="s">
        <v>1367</v>
      </c>
      <c r="G75" t="s">
        <v>74</v>
      </c>
      <c r="H75" t="s">
        <v>74</v>
      </c>
      <c r="I75" t="s">
        <v>1368</v>
      </c>
      <c r="J75" t="s">
        <v>1059</v>
      </c>
      <c r="K75" t="s">
        <v>74</v>
      </c>
      <c r="L75" t="s">
        <v>74</v>
      </c>
      <c r="M75" t="s">
        <v>74</v>
      </c>
      <c r="N75" t="s">
        <v>74</v>
      </c>
      <c r="O75" t="s">
        <v>74</v>
      </c>
      <c r="P75" t="s">
        <v>74</v>
      </c>
      <c r="Q75" t="s">
        <v>74</v>
      </c>
      <c r="R75" t="s">
        <v>74</v>
      </c>
      <c r="S75" t="s">
        <v>74</v>
      </c>
      <c r="T75" t="s">
        <v>74</v>
      </c>
      <c r="U75" t="s">
        <v>74</v>
      </c>
      <c r="V75" t="s">
        <v>1369</v>
      </c>
      <c r="W75" t="s">
        <v>74</v>
      </c>
      <c r="X75" t="s">
        <v>74</v>
      </c>
      <c r="Y75" t="s">
        <v>74</v>
      </c>
      <c r="Z75" t="s">
        <v>74</v>
      </c>
      <c r="AA75" t="s">
        <v>1370</v>
      </c>
      <c r="AB75" t="s">
        <v>1371</v>
      </c>
      <c r="AC75" t="s">
        <v>74</v>
      </c>
      <c r="AD75" t="s">
        <v>74</v>
      </c>
      <c r="AE75" t="s">
        <v>74</v>
      </c>
      <c r="AF75" t="s">
        <v>74</v>
      </c>
      <c r="AG75" t="s">
        <v>74</v>
      </c>
      <c r="AH75" t="s">
        <v>74</v>
      </c>
      <c r="AI75" t="s">
        <v>74</v>
      </c>
      <c r="AJ75" t="s">
        <v>74</v>
      </c>
      <c r="AK75" t="s">
        <v>74</v>
      </c>
      <c r="AL75" t="s">
        <v>74</v>
      </c>
      <c r="AM75" t="s">
        <v>74</v>
      </c>
      <c r="AN75" t="s">
        <v>74</v>
      </c>
      <c r="AO75" t="s">
        <v>1063</v>
      </c>
      <c r="AP75" t="s">
        <v>1064</v>
      </c>
      <c r="AQ75" t="s">
        <v>74</v>
      </c>
      <c r="AR75" t="s">
        <v>74</v>
      </c>
      <c r="AS75" t="s">
        <v>74</v>
      </c>
      <c r="AT75" t="s">
        <v>163</v>
      </c>
      <c r="AU75">
        <v>2021</v>
      </c>
      <c r="AV75">
        <v>57</v>
      </c>
      <c r="AW75">
        <v>11</v>
      </c>
      <c r="AX75" t="s">
        <v>74</v>
      </c>
      <c r="AY75" t="s">
        <v>74</v>
      </c>
      <c r="AZ75" t="s">
        <v>74</v>
      </c>
      <c r="BA75" t="s">
        <v>74</v>
      </c>
      <c r="BB75" t="s">
        <v>74</v>
      </c>
      <c r="BC75" t="s">
        <v>74</v>
      </c>
      <c r="BD75" t="s">
        <v>1372</v>
      </c>
      <c r="BE75" t="s">
        <v>1373</v>
      </c>
      <c r="BF75" t="str">
        <f>HYPERLINK("http://dx.doi.org/10.1029/2021WR030119","http://dx.doi.org/10.1029/2021WR030119")</f>
        <v>http://dx.doi.org/10.1029/2021WR030119</v>
      </c>
      <c r="BG75" t="s">
        <v>74</v>
      </c>
      <c r="BH75" t="s">
        <v>74</v>
      </c>
      <c r="BI75" t="s">
        <v>74</v>
      </c>
      <c r="BJ75" t="s">
        <v>74</v>
      </c>
      <c r="BK75" t="s">
        <v>74</v>
      </c>
      <c r="BL75" t="s">
        <v>74</v>
      </c>
      <c r="BM75" t="s">
        <v>74</v>
      </c>
      <c r="BN75">
        <v>34824483</v>
      </c>
      <c r="BO75" t="s">
        <v>74</v>
      </c>
      <c r="BP75" t="s">
        <v>74</v>
      </c>
      <c r="BQ75" t="s">
        <v>74</v>
      </c>
      <c r="BR75" t="s">
        <v>74</v>
      </c>
      <c r="BS75" t="s">
        <v>1374</v>
      </c>
      <c r="BT75" t="str">
        <f>HYPERLINK("https%3A%2F%2Fwww.webofscience.com%2Fwos%2Fwoscc%2Ffull-record%2FWOS:000723106900039","View Full Record in Web of Science")</f>
        <v>View Full Record in Web of Science</v>
      </c>
    </row>
    <row r="76" spans="1:72" x14ac:dyDescent="0.15">
      <c r="A76" t="s">
        <v>72</v>
      </c>
      <c r="B76" t="s">
        <v>1375</v>
      </c>
      <c r="C76" t="s">
        <v>74</v>
      </c>
      <c r="D76" t="s">
        <v>74</v>
      </c>
      <c r="E76" t="s">
        <v>74</v>
      </c>
      <c r="F76" t="s">
        <v>1376</v>
      </c>
      <c r="G76" t="s">
        <v>74</v>
      </c>
      <c r="H76" t="s">
        <v>74</v>
      </c>
      <c r="I76" t="s">
        <v>1377</v>
      </c>
      <c r="J76" t="s">
        <v>96</v>
      </c>
      <c r="K76" t="s">
        <v>74</v>
      </c>
      <c r="L76" t="s">
        <v>74</v>
      </c>
      <c r="M76" t="s">
        <v>74</v>
      </c>
      <c r="N76" t="s">
        <v>74</v>
      </c>
      <c r="O76" t="s">
        <v>74</v>
      </c>
      <c r="P76" t="s">
        <v>74</v>
      </c>
      <c r="Q76" t="s">
        <v>74</v>
      </c>
      <c r="R76" t="s">
        <v>74</v>
      </c>
      <c r="S76" t="s">
        <v>74</v>
      </c>
      <c r="T76" t="s">
        <v>74</v>
      </c>
      <c r="U76" t="s">
        <v>74</v>
      </c>
      <c r="V76" t="s">
        <v>1378</v>
      </c>
      <c r="W76" t="s">
        <v>74</v>
      </c>
      <c r="X76" t="s">
        <v>74</v>
      </c>
      <c r="Y76" t="s">
        <v>74</v>
      </c>
      <c r="Z76" t="s">
        <v>74</v>
      </c>
      <c r="AA76" t="s">
        <v>1379</v>
      </c>
      <c r="AB76" t="s">
        <v>1380</v>
      </c>
      <c r="AC76" t="s">
        <v>74</v>
      </c>
      <c r="AD76" t="s">
        <v>74</v>
      </c>
      <c r="AE76" t="s">
        <v>74</v>
      </c>
      <c r="AF76" t="s">
        <v>74</v>
      </c>
      <c r="AG76" t="s">
        <v>74</v>
      </c>
      <c r="AH76" t="s">
        <v>74</v>
      </c>
      <c r="AI76" t="s">
        <v>74</v>
      </c>
      <c r="AJ76" t="s">
        <v>74</v>
      </c>
      <c r="AK76" t="s">
        <v>74</v>
      </c>
      <c r="AL76" t="s">
        <v>74</v>
      </c>
      <c r="AM76" t="s">
        <v>74</v>
      </c>
      <c r="AN76" t="s">
        <v>74</v>
      </c>
      <c r="AO76" t="s">
        <v>99</v>
      </c>
      <c r="AP76" t="s">
        <v>100</v>
      </c>
      <c r="AQ76" t="s">
        <v>74</v>
      </c>
      <c r="AR76" t="s">
        <v>74</v>
      </c>
      <c r="AS76" t="s">
        <v>74</v>
      </c>
      <c r="AT76" t="s">
        <v>177</v>
      </c>
      <c r="AU76">
        <v>2021</v>
      </c>
      <c r="AV76">
        <v>59</v>
      </c>
      <c r="AW76">
        <v>9</v>
      </c>
      <c r="AX76" t="s">
        <v>74</v>
      </c>
      <c r="AY76" t="s">
        <v>74</v>
      </c>
      <c r="AZ76" t="s">
        <v>74</v>
      </c>
      <c r="BA76" t="s">
        <v>74</v>
      </c>
      <c r="BB76">
        <v>7270</v>
      </c>
      <c r="BC76">
        <v>7284</v>
      </c>
      <c r="BD76" t="s">
        <v>74</v>
      </c>
      <c r="BE76" t="s">
        <v>1381</v>
      </c>
      <c r="BF76" t="str">
        <f>HYPERLINK("http://dx.doi.org/10.1109/TGRS.2020.3040328","http://dx.doi.org/10.1109/TGRS.2020.3040328")</f>
        <v>http://dx.doi.org/10.1109/TGRS.2020.3040328</v>
      </c>
      <c r="BG76" t="s">
        <v>74</v>
      </c>
      <c r="BH76" t="s">
        <v>74</v>
      </c>
      <c r="BI76" t="s">
        <v>74</v>
      </c>
      <c r="BJ76" t="s">
        <v>74</v>
      </c>
      <c r="BK76" t="s">
        <v>74</v>
      </c>
      <c r="BL76" t="s">
        <v>74</v>
      </c>
      <c r="BM76" t="s">
        <v>74</v>
      </c>
      <c r="BN76" t="s">
        <v>74</v>
      </c>
      <c r="BO76" t="s">
        <v>74</v>
      </c>
      <c r="BP76" t="s">
        <v>74</v>
      </c>
      <c r="BQ76" t="s">
        <v>74</v>
      </c>
      <c r="BR76" t="s">
        <v>74</v>
      </c>
      <c r="BS76" t="s">
        <v>1382</v>
      </c>
      <c r="BT76" t="str">
        <f>HYPERLINK("https%3A%2F%2Fwww.webofscience.com%2Fwos%2Fwoscc%2Ffull-record%2FWOS:000690968800015","View Full Record in Web of Science")</f>
        <v>View Full Record in Web of Science</v>
      </c>
    </row>
    <row r="77" spans="1:72" x14ac:dyDescent="0.15">
      <c r="A77" t="s">
        <v>72</v>
      </c>
      <c r="B77" t="s">
        <v>1383</v>
      </c>
      <c r="C77" t="s">
        <v>74</v>
      </c>
      <c r="D77" t="s">
        <v>74</v>
      </c>
      <c r="E77" t="s">
        <v>74</v>
      </c>
      <c r="F77" t="s">
        <v>1384</v>
      </c>
      <c r="G77" t="s">
        <v>74</v>
      </c>
      <c r="H77" t="s">
        <v>74</v>
      </c>
      <c r="I77" t="s">
        <v>1385</v>
      </c>
      <c r="J77" t="s">
        <v>122</v>
      </c>
      <c r="K77" t="s">
        <v>74</v>
      </c>
      <c r="L77" t="s">
        <v>74</v>
      </c>
      <c r="M77" t="s">
        <v>74</v>
      </c>
      <c r="N77" t="s">
        <v>74</v>
      </c>
      <c r="O77" t="s">
        <v>74</v>
      </c>
      <c r="P77" t="s">
        <v>74</v>
      </c>
      <c r="Q77" t="s">
        <v>74</v>
      </c>
      <c r="R77" t="s">
        <v>74</v>
      </c>
      <c r="S77" t="s">
        <v>74</v>
      </c>
      <c r="T77" t="s">
        <v>74</v>
      </c>
      <c r="U77" t="s">
        <v>74</v>
      </c>
      <c r="V77" t="s">
        <v>1386</v>
      </c>
      <c r="W77" t="s">
        <v>74</v>
      </c>
      <c r="X77" t="s">
        <v>74</v>
      </c>
      <c r="Y77" t="s">
        <v>74</v>
      </c>
      <c r="Z77" t="s">
        <v>74</v>
      </c>
      <c r="AA77" t="s">
        <v>1387</v>
      </c>
      <c r="AB77" t="s">
        <v>1388</v>
      </c>
      <c r="AC77" t="s">
        <v>74</v>
      </c>
      <c r="AD77" t="s">
        <v>74</v>
      </c>
      <c r="AE77" t="s">
        <v>74</v>
      </c>
      <c r="AF77" t="s">
        <v>74</v>
      </c>
      <c r="AG77" t="s">
        <v>74</v>
      </c>
      <c r="AH77" t="s">
        <v>74</v>
      </c>
      <c r="AI77" t="s">
        <v>74</v>
      </c>
      <c r="AJ77" t="s">
        <v>74</v>
      </c>
      <c r="AK77" t="s">
        <v>74</v>
      </c>
      <c r="AL77" t="s">
        <v>74</v>
      </c>
      <c r="AM77" t="s">
        <v>74</v>
      </c>
      <c r="AN77" t="s">
        <v>74</v>
      </c>
      <c r="AO77" t="s">
        <v>126</v>
      </c>
      <c r="AP77" t="s">
        <v>127</v>
      </c>
      <c r="AQ77" t="s">
        <v>74</v>
      </c>
      <c r="AR77" t="s">
        <v>74</v>
      </c>
      <c r="AS77" t="s">
        <v>74</v>
      </c>
      <c r="AT77" t="s">
        <v>464</v>
      </c>
      <c r="AU77">
        <v>2021</v>
      </c>
      <c r="AV77">
        <v>264</v>
      </c>
      <c r="AW77" t="s">
        <v>74</v>
      </c>
      <c r="AX77" t="s">
        <v>74</v>
      </c>
      <c r="AY77" t="s">
        <v>74</v>
      </c>
      <c r="AZ77" t="s">
        <v>74</v>
      </c>
      <c r="BA77" t="s">
        <v>74</v>
      </c>
      <c r="BB77" t="s">
        <v>74</v>
      </c>
      <c r="BC77" t="s">
        <v>74</v>
      </c>
      <c r="BD77">
        <v>112608</v>
      </c>
      <c r="BE77" t="s">
        <v>1389</v>
      </c>
      <c r="BF77" t="str">
        <f>HYPERLINK("http://dx.doi.org/10.1016/j.rse.2021.112608","http://dx.doi.org/10.1016/j.rse.2021.112608")</f>
        <v>http://dx.doi.org/10.1016/j.rse.2021.112608</v>
      </c>
      <c r="BG77" t="s">
        <v>74</v>
      </c>
      <c r="BH77" t="s">
        <v>656</v>
      </c>
      <c r="BI77" t="s">
        <v>74</v>
      </c>
      <c r="BJ77" t="s">
        <v>74</v>
      </c>
      <c r="BK77" t="s">
        <v>74</v>
      </c>
      <c r="BL77" t="s">
        <v>74</v>
      </c>
      <c r="BM77" t="s">
        <v>74</v>
      </c>
      <c r="BN77" t="s">
        <v>74</v>
      </c>
      <c r="BO77" t="s">
        <v>74</v>
      </c>
      <c r="BP77" t="s">
        <v>74</v>
      </c>
      <c r="BQ77" t="s">
        <v>74</v>
      </c>
      <c r="BR77" t="s">
        <v>74</v>
      </c>
      <c r="BS77" t="s">
        <v>1390</v>
      </c>
      <c r="BT77" t="str">
        <f>HYPERLINK("https%3A%2F%2Fwww.webofscience.com%2Fwos%2Fwoscc%2Ffull-record%2FWOS:000688405400006","View Full Record in Web of Science")</f>
        <v>View Full Record in Web of Science</v>
      </c>
    </row>
    <row r="78" spans="1:72" x14ac:dyDescent="0.15">
      <c r="A78" t="s">
        <v>72</v>
      </c>
      <c r="B78" t="s">
        <v>1391</v>
      </c>
      <c r="C78" t="s">
        <v>74</v>
      </c>
      <c r="D78" t="s">
        <v>74</v>
      </c>
      <c r="E78" t="s">
        <v>74</v>
      </c>
      <c r="F78" t="s">
        <v>1392</v>
      </c>
      <c r="G78" t="s">
        <v>74</v>
      </c>
      <c r="H78" t="s">
        <v>74</v>
      </c>
      <c r="I78" t="s">
        <v>1393</v>
      </c>
      <c r="J78" t="s">
        <v>399</v>
      </c>
      <c r="K78" t="s">
        <v>74</v>
      </c>
      <c r="L78" t="s">
        <v>74</v>
      </c>
      <c r="M78" t="s">
        <v>74</v>
      </c>
      <c r="N78" t="s">
        <v>74</v>
      </c>
      <c r="O78" t="s">
        <v>74</v>
      </c>
      <c r="P78" t="s">
        <v>74</v>
      </c>
      <c r="Q78" t="s">
        <v>74</v>
      </c>
      <c r="R78" t="s">
        <v>74</v>
      </c>
      <c r="S78" t="s">
        <v>74</v>
      </c>
      <c r="T78" t="s">
        <v>74</v>
      </c>
      <c r="U78" t="s">
        <v>74</v>
      </c>
      <c r="V78" t="s">
        <v>1394</v>
      </c>
      <c r="W78" t="s">
        <v>74</v>
      </c>
      <c r="X78" t="s">
        <v>74</v>
      </c>
      <c r="Y78" t="s">
        <v>74</v>
      </c>
      <c r="Z78" t="s">
        <v>74</v>
      </c>
      <c r="AA78" t="s">
        <v>1395</v>
      </c>
      <c r="AB78" t="s">
        <v>1396</v>
      </c>
      <c r="AC78" t="s">
        <v>74</v>
      </c>
      <c r="AD78" t="s">
        <v>74</v>
      </c>
      <c r="AE78" t="s">
        <v>74</v>
      </c>
      <c r="AF78" t="s">
        <v>74</v>
      </c>
      <c r="AG78" t="s">
        <v>74</v>
      </c>
      <c r="AH78" t="s">
        <v>74</v>
      </c>
      <c r="AI78" t="s">
        <v>74</v>
      </c>
      <c r="AJ78" t="s">
        <v>74</v>
      </c>
      <c r="AK78" t="s">
        <v>74</v>
      </c>
      <c r="AL78" t="s">
        <v>74</v>
      </c>
      <c r="AM78" t="s">
        <v>74</v>
      </c>
      <c r="AN78" t="s">
        <v>74</v>
      </c>
      <c r="AO78" t="s">
        <v>403</v>
      </c>
      <c r="AP78" t="s">
        <v>404</v>
      </c>
      <c r="AQ78" t="s">
        <v>74</v>
      </c>
      <c r="AR78" t="s">
        <v>74</v>
      </c>
      <c r="AS78" t="s">
        <v>74</v>
      </c>
      <c r="AT78" t="s">
        <v>208</v>
      </c>
      <c r="AU78">
        <v>2021</v>
      </c>
      <c r="AV78">
        <v>22</v>
      </c>
      <c r="AW78">
        <v>7</v>
      </c>
      <c r="AX78" t="s">
        <v>74</v>
      </c>
      <c r="AY78" t="s">
        <v>74</v>
      </c>
      <c r="AZ78" t="s">
        <v>74</v>
      </c>
      <c r="BA78" t="s">
        <v>74</v>
      </c>
      <c r="BB78">
        <v>1727</v>
      </c>
      <c r="BC78">
        <v>1744</v>
      </c>
      <c r="BD78" t="s">
        <v>74</v>
      </c>
      <c r="BE78" t="s">
        <v>1397</v>
      </c>
      <c r="BF78" t="str">
        <f>HYPERLINK("http://dx.doi.org/10.1175/JHM-D-20-0260.1","http://dx.doi.org/10.1175/JHM-D-20-0260.1")</f>
        <v>http://dx.doi.org/10.1175/JHM-D-20-0260.1</v>
      </c>
      <c r="BG78" t="s">
        <v>74</v>
      </c>
      <c r="BH78" t="s">
        <v>74</v>
      </c>
      <c r="BI78" t="s">
        <v>74</v>
      </c>
      <c r="BJ78" t="s">
        <v>74</v>
      </c>
      <c r="BK78" t="s">
        <v>74</v>
      </c>
      <c r="BL78" t="s">
        <v>74</v>
      </c>
      <c r="BM78" t="s">
        <v>74</v>
      </c>
      <c r="BN78" t="s">
        <v>74</v>
      </c>
      <c r="BO78" t="s">
        <v>74</v>
      </c>
      <c r="BP78" t="s">
        <v>74</v>
      </c>
      <c r="BQ78" t="s">
        <v>74</v>
      </c>
      <c r="BR78" t="s">
        <v>74</v>
      </c>
      <c r="BS78" t="s">
        <v>1398</v>
      </c>
      <c r="BT78" t="str">
        <f>HYPERLINK("https%3A%2F%2Fwww.webofscience.com%2Fwos%2Fwoscc%2Ffull-record%2FWOS:000677659800003","View Full Record in Web of Science")</f>
        <v>View Full Record in Web of Science</v>
      </c>
    </row>
    <row r="79" spans="1:72" x14ac:dyDescent="0.15">
      <c r="A79" t="s">
        <v>72</v>
      </c>
      <c r="B79" t="s">
        <v>1399</v>
      </c>
      <c r="C79" t="s">
        <v>74</v>
      </c>
      <c r="D79" t="s">
        <v>74</v>
      </c>
      <c r="E79" t="s">
        <v>74</v>
      </c>
      <c r="F79" t="s">
        <v>1400</v>
      </c>
      <c r="G79" t="s">
        <v>74</v>
      </c>
      <c r="H79" t="s">
        <v>74</v>
      </c>
      <c r="I79" t="s">
        <v>1401</v>
      </c>
      <c r="J79" t="s">
        <v>540</v>
      </c>
      <c r="K79" t="s">
        <v>74</v>
      </c>
      <c r="L79" t="s">
        <v>74</v>
      </c>
      <c r="M79" t="s">
        <v>74</v>
      </c>
      <c r="N79" t="s">
        <v>74</v>
      </c>
      <c r="O79" t="s">
        <v>74</v>
      </c>
      <c r="P79" t="s">
        <v>74</v>
      </c>
      <c r="Q79" t="s">
        <v>74</v>
      </c>
      <c r="R79" t="s">
        <v>74</v>
      </c>
      <c r="S79" t="s">
        <v>74</v>
      </c>
      <c r="T79" t="s">
        <v>74</v>
      </c>
      <c r="U79" t="s">
        <v>74</v>
      </c>
      <c r="V79" t="s">
        <v>1402</v>
      </c>
      <c r="W79" t="s">
        <v>74</v>
      </c>
      <c r="X79" t="s">
        <v>74</v>
      </c>
      <c r="Y79" t="s">
        <v>74</v>
      </c>
      <c r="Z79" t="s">
        <v>74</v>
      </c>
      <c r="AA79" t="s">
        <v>1403</v>
      </c>
      <c r="AB79" t="s">
        <v>74</v>
      </c>
      <c r="AC79" t="s">
        <v>74</v>
      </c>
      <c r="AD79" t="s">
        <v>74</v>
      </c>
      <c r="AE79" t="s">
        <v>74</v>
      </c>
      <c r="AF79" t="s">
        <v>74</v>
      </c>
      <c r="AG79" t="s">
        <v>74</v>
      </c>
      <c r="AH79" t="s">
        <v>74</v>
      </c>
      <c r="AI79" t="s">
        <v>74</v>
      </c>
      <c r="AJ79" t="s">
        <v>74</v>
      </c>
      <c r="AK79" t="s">
        <v>74</v>
      </c>
      <c r="AL79" t="s">
        <v>74</v>
      </c>
      <c r="AM79" t="s">
        <v>74</v>
      </c>
      <c r="AN79" t="s">
        <v>74</v>
      </c>
      <c r="AO79" t="s">
        <v>74</v>
      </c>
      <c r="AP79" t="s">
        <v>544</v>
      </c>
      <c r="AQ79" t="s">
        <v>74</v>
      </c>
      <c r="AR79" t="s">
        <v>74</v>
      </c>
      <c r="AS79" t="s">
        <v>74</v>
      </c>
      <c r="AT79" t="s">
        <v>208</v>
      </c>
      <c r="AU79">
        <v>2021</v>
      </c>
      <c r="AV79">
        <v>10</v>
      </c>
      <c r="AW79">
        <v>7</v>
      </c>
      <c r="AX79" t="s">
        <v>74</v>
      </c>
      <c r="AY79" t="s">
        <v>74</v>
      </c>
      <c r="AZ79" t="s">
        <v>74</v>
      </c>
      <c r="BA79" t="s">
        <v>74</v>
      </c>
      <c r="BB79" t="s">
        <v>74</v>
      </c>
      <c r="BC79" t="s">
        <v>74</v>
      </c>
      <c r="BD79">
        <v>462</v>
      </c>
      <c r="BE79" t="s">
        <v>1404</v>
      </c>
      <c r="BF79" t="str">
        <f>HYPERLINK("http://dx.doi.org/10.3390/ijgi10070462","http://dx.doi.org/10.3390/ijgi10070462")</f>
        <v>http://dx.doi.org/10.3390/ijgi10070462</v>
      </c>
      <c r="BG79" t="s">
        <v>74</v>
      </c>
      <c r="BH79" t="s">
        <v>74</v>
      </c>
      <c r="BI79" t="s">
        <v>74</v>
      </c>
      <c r="BJ79" t="s">
        <v>74</v>
      </c>
      <c r="BK79" t="s">
        <v>74</v>
      </c>
      <c r="BL79" t="s">
        <v>74</v>
      </c>
      <c r="BM79" t="s">
        <v>74</v>
      </c>
      <c r="BN79" t="s">
        <v>74</v>
      </c>
      <c r="BO79" t="s">
        <v>74</v>
      </c>
      <c r="BP79" t="s">
        <v>74</v>
      </c>
      <c r="BQ79" t="s">
        <v>74</v>
      </c>
      <c r="BR79" t="s">
        <v>74</v>
      </c>
      <c r="BS79" t="s">
        <v>1405</v>
      </c>
      <c r="BT79" t="str">
        <f>HYPERLINK("https%3A%2F%2Fwww.webofscience.com%2Fwos%2Fwoscc%2Ffull-record%2FWOS:000676871500001","View Full Record in Web of Science")</f>
        <v>View Full Record in Web of Science</v>
      </c>
    </row>
    <row r="80" spans="1:72" x14ac:dyDescent="0.15">
      <c r="A80" t="s">
        <v>72</v>
      </c>
      <c r="B80" t="s">
        <v>1406</v>
      </c>
      <c r="C80" t="s">
        <v>74</v>
      </c>
      <c r="D80" t="s">
        <v>74</v>
      </c>
      <c r="E80" t="s">
        <v>74</v>
      </c>
      <c r="F80" t="s">
        <v>1407</v>
      </c>
      <c r="G80" t="s">
        <v>74</v>
      </c>
      <c r="H80" t="s">
        <v>74</v>
      </c>
      <c r="I80" t="s">
        <v>1408</v>
      </c>
      <c r="J80" t="s">
        <v>1059</v>
      </c>
      <c r="K80" t="s">
        <v>74</v>
      </c>
      <c r="L80" t="s">
        <v>74</v>
      </c>
      <c r="M80" t="s">
        <v>74</v>
      </c>
      <c r="N80" t="s">
        <v>74</v>
      </c>
      <c r="O80" t="s">
        <v>74</v>
      </c>
      <c r="P80" t="s">
        <v>74</v>
      </c>
      <c r="Q80" t="s">
        <v>74</v>
      </c>
      <c r="R80" t="s">
        <v>74</v>
      </c>
      <c r="S80" t="s">
        <v>74</v>
      </c>
      <c r="T80" t="s">
        <v>74</v>
      </c>
      <c r="U80" t="s">
        <v>74</v>
      </c>
      <c r="V80" t="s">
        <v>1409</v>
      </c>
      <c r="W80" t="s">
        <v>74</v>
      </c>
      <c r="X80" t="s">
        <v>74</v>
      </c>
      <c r="Y80" t="s">
        <v>74</v>
      </c>
      <c r="Z80" t="s">
        <v>74</v>
      </c>
      <c r="AA80" t="s">
        <v>74</v>
      </c>
      <c r="AB80" t="s">
        <v>74</v>
      </c>
      <c r="AC80" t="s">
        <v>74</v>
      </c>
      <c r="AD80" t="s">
        <v>74</v>
      </c>
      <c r="AE80" t="s">
        <v>74</v>
      </c>
      <c r="AF80" t="s">
        <v>74</v>
      </c>
      <c r="AG80" t="s">
        <v>74</v>
      </c>
      <c r="AH80" t="s">
        <v>74</v>
      </c>
      <c r="AI80" t="s">
        <v>74</v>
      </c>
      <c r="AJ80" t="s">
        <v>74</v>
      </c>
      <c r="AK80" t="s">
        <v>74</v>
      </c>
      <c r="AL80" t="s">
        <v>74</v>
      </c>
      <c r="AM80" t="s">
        <v>74</v>
      </c>
      <c r="AN80" t="s">
        <v>74</v>
      </c>
      <c r="AO80" t="s">
        <v>1063</v>
      </c>
      <c r="AP80" t="s">
        <v>1064</v>
      </c>
      <c r="AQ80" t="s">
        <v>74</v>
      </c>
      <c r="AR80" t="s">
        <v>74</v>
      </c>
      <c r="AS80" t="s">
        <v>74</v>
      </c>
      <c r="AT80" t="s">
        <v>208</v>
      </c>
      <c r="AU80">
        <v>2021</v>
      </c>
      <c r="AV80">
        <v>57</v>
      </c>
      <c r="AW80">
        <v>7</v>
      </c>
      <c r="AX80" t="s">
        <v>74</v>
      </c>
      <c r="AY80" t="s">
        <v>74</v>
      </c>
      <c r="AZ80" t="s">
        <v>74</v>
      </c>
      <c r="BA80" t="s">
        <v>74</v>
      </c>
      <c r="BB80" t="s">
        <v>74</v>
      </c>
      <c r="BC80" t="s">
        <v>74</v>
      </c>
      <c r="BD80" t="s">
        <v>1410</v>
      </c>
      <c r="BE80" t="s">
        <v>1411</v>
      </c>
      <c r="BF80" t="str">
        <f>HYPERLINK("http://dx.doi.org/10.1029/2020WR027563","http://dx.doi.org/10.1029/2020WR027563")</f>
        <v>http://dx.doi.org/10.1029/2020WR027563</v>
      </c>
      <c r="BG80" t="s">
        <v>74</v>
      </c>
      <c r="BH80" t="s">
        <v>74</v>
      </c>
      <c r="BI80" t="s">
        <v>74</v>
      </c>
      <c r="BJ80" t="s">
        <v>74</v>
      </c>
      <c r="BK80" t="s">
        <v>74</v>
      </c>
      <c r="BL80" t="s">
        <v>74</v>
      </c>
      <c r="BM80" t="s">
        <v>74</v>
      </c>
      <c r="BN80" t="s">
        <v>74</v>
      </c>
      <c r="BO80" t="s">
        <v>74</v>
      </c>
      <c r="BP80" t="s">
        <v>74</v>
      </c>
      <c r="BQ80" t="s">
        <v>74</v>
      </c>
      <c r="BR80" t="s">
        <v>74</v>
      </c>
      <c r="BS80" t="s">
        <v>1412</v>
      </c>
      <c r="BT80" t="str">
        <f>HYPERLINK("https%3A%2F%2Fwww.webofscience.com%2Fwos%2Fwoscc%2Ffull-record%2FWOS:000680092200035","View Full Record in Web of Science")</f>
        <v>View Full Record in Web of Science</v>
      </c>
    </row>
    <row r="81" spans="1:72" x14ac:dyDescent="0.15">
      <c r="A81" t="s">
        <v>72</v>
      </c>
      <c r="B81" t="s">
        <v>1413</v>
      </c>
      <c r="C81" t="s">
        <v>74</v>
      </c>
      <c r="D81" t="s">
        <v>74</v>
      </c>
      <c r="E81" t="s">
        <v>74</v>
      </c>
      <c r="F81" t="s">
        <v>1414</v>
      </c>
      <c r="G81" t="s">
        <v>74</v>
      </c>
      <c r="H81" t="s">
        <v>74</v>
      </c>
      <c r="I81" t="s">
        <v>1415</v>
      </c>
      <c r="J81" t="s">
        <v>480</v>
      </c>
      <c r="K81" t="s">
        <v>74</v>
      </c>
      <c r="L81" t="s">
        <v>74</v>
      </c>
      <c r="M81" t="s">
        <v>74</v>
      </c>
      <c r="N81" t="s">
        <v>74</v>
      </c>
      <c r="O81" t="s">
        <v>74</v>
      </c>
      <c r="P81" t="s">
        <v>74</v>
      </c>
      <c r="Q81" t="s">
        <v>74</v>
      </c>
      <c r="R81" t="s">
        <v>74</v>
      </c>
      <c r="S81" t="s">
        <v>74</v>
      </c>
      <c r="T81" t="s">
        <v>74</v>
      </c>
      <c r="U81" t="s">
        <v>74</v>
      </c>
      <c r="V81" t="s">
        <v>1416</v>
      </c>
      <c r="W81" t="s">
        <v>74</v>
      </c>
      <c r="X81" t="s">
        <v>74</v>
      </c>
      <c r="Y81" t="s">
        <v>74</v>
      </c>
      <c r="Z81" t="s">
        <v>74</v>
      </c>
      <c r="AA81" t="s">
        <v>74</v>
      </c>
      <c r="AB81" t="s">
        <v>1417</v>
      </c>
      <c r="AC81" t="s">
        <v>74</v>
      </c>
      <c r="AD81" t="s">
        <v>74</v>
      </c>
      <c r="AE81" t="s">
        <v>74</v>
      </c>
      <c r="AF81" t="s">
        <v>74</v>
      </c>
      <c r="AG81" t="s">
        <v>74</v>
      </c>
      <c r="AH81" t="s">
        <v>74</v>
      </c>
      <c r="AI81" t="s">
        <v>74</v>
      </c>
      <c r="AJ81" t="s">
        <v>74</v>
      </c>
      <c r="AK81" t="s">
        <v>74</v>
      </c>
      <c r="AL81" t="s">
        <v>74</v>
      </c>
      <c r="AM81" t="s">
        <v>74</v>
      </c>
      <c r="AN81" t="s">
        <v>74</v>
      </c>
      <c r="AO81" t="s">
        <v>484</v>
      </c>
      <c r="AP81" t="s">
        <v>485</v>
      </c>
      <c r="AQ81" t="s">
        <v>74</v>
      </c>
      <c r="AR81" t="s">
        <v>74</v>
      </c>
      <c r="AS81" t="s">
        <v>74</v>
      </c>
      <c r="AT81" t="s">
        <v>1418</v>
      </c>
      <c r="AU81">
        <v>2021</v>
      </c>
      <c r="AV81">
        <v>25</v>
      </c>
      <c r="AW81">
        <v>6</v>
      </c>
      <c r="AX81" t="s">
        <v>74</v>
      </c>
      <c r="AY81" t="s">
        <v>74</v>
      </c>
      <c r="AZ81" t="s">
        <v>74</v>
      </c>
      <c r="BA81" t="s">
        <v>74</v>
      </c>
      <c r="BB81">
        <v>3017</v>
      </c>
      <c r="BC81">
        <v>3040</v>
      </c>
      <c r="BD81" t="s">
        <v>74</v>
      </c>
      <c r="BE81" t="s">
        <v>1419</v>
      </c>
      <c r="BF81" t="str">
        <f>HYPERLINK("http://dx.doi.org/10.5194/hess-25-3017-2021","http://dx.doi.org/10.5194/hess-25-3017-2021")</f>
        <v>http://dx.doi.org/10.5194/hess-25-3017-2021</v>
      </c>
      <c r="BG81" t="s">
        <v>74</v>
      </c>
      <c r="BH81" t="s">
        <v>74</v>
      </c>
      <c r="BI81" t="s">
        <v>74</v>
      </c>
      <c r="BJ81" t="s">
        <v>74</v>
      </c>
      <c r="BK81" t="s">
        <v>74</v>
      </c>
      <c r="BL81" t="s">
        <v>74</v>
      </c>
      <c r="BM81" t="s">
        <v>74</v>
      </c>
      <c r="BN81" t="s">
        <v>74</v>
      </c>
      <c r="BO81" t="s">
        <v>74</v>
      </c>
      <c r="BP81" t="s">
        <v>74</v>
      </c>
      <c r="BQ81" t="s">
        <v>74</v>
      </c>
      <c r="BR81" t="s">
        <v>74</v>
      </c>
      <c r="BS81" t="s">
        <v>1420</v>
      </c>
      <c r="BT81" t="str">
        <f>HYPERLINK("https%3A%2F%2Fwww.webofscience.com%2Fwos%2Fwoscc%2Ffull-record%2FWOS:000661090800001","View Full Record in Web of Science")</f>
        <v>View Full Record in Web of Science</v>
      </c>
    </row>
    <row r="82" spans="1:72" x14ac:dyDescent="0.15">
      <c r="A82" t="s">
        <v>72</v>
      </c>
      <c r="B82" t="s">
        <v>669</v>
      </c>
      <c r="C82" t="s">
        <v>74</v>
      </c>
      <c r="D82" t="s">
        <v>74</v>
      </c>
      <c r="E82" t="s">
        <v>74</v>
      </c>
      <c r="F82" t="s">
        <v>670</v>
      </c>
      <c r="G82" t="s">
        <v>74</v>
      </c>
      <c r="H82" t="s">
        <v>74</v>
      </c>
      <c r="I82" t="s">
        <v>671</v>
      </c>
      <c r="J82" t="s">
        <v>122</v>
      </c>
      <c r="K82" t="s">
        <v>74</v>
      </c>
      <c r="L82" t="s">
        <v>74</v>
      </c>
      <c r="M82" t="s">
        <v>74</v>
      </c>
      <c r="N82" t="s">
        <v>74</v>
      </c>
      <c r="O82" t="s">
        <v>74</v>
      </c>
      <c r="P82" t="s">
        <v>74</v>
      </c>
      <c r="Q82" t="s">
        <v>74</v>
      </c>
      <c r="R82" t="s">
        <v>74</v>
      </c>
      <c r="S82" t="s">
        <v>74</v>
      </c>
      <c r="T82" t="s">
        <v>74</v>
      </c>
      <c r="U82" t="s">
        <v>74</v>
      </c>
      <c r="V82" t="s">
        <v>672</v>
      </c>
      <c r="W82" t="s">
        <v>74</v>
      </c>
      <c r="X82" t="s">
        <v>74</v>
      </c>
      <c r="Y82" t="s">
        <v>74</v>
      </c>
      <c r="Z82" t="s">
        <v>74</v>
      </c>
      <c r="AA82" t="s">
        <v>673</v>
      </c>
      <c r="AB82" t="s">
        <v>674</v>
      </c>
      <c r="AC82" t="s">
        <v>74</v>
      </c>
      <c r="AD82" t="s">
        <v>74</v>
      </c>
      <c r="AE82" t="s">
        <v>74</v>
      </c>
      <c r="AF82" t="s">
        <v>74</v>
      </c>
      <c r="AG82" t="s">
        <v>74</v>
      </c>
      <c r="AH82" t="s">
        <v>74</v>
      </c>
      <c r="AI82" t="s">
        <v>74</v>
      </c>
      <c r="AJ82" t="s">
        <v>74</v>
      </c>
      <c r="AK82" t="s">
        <v>74</v>
      </c>
      <c r="AL82" t="s">
        <v>74</v>
      </c>
      <c r="AM82" t="s">
        <v>74</v>
      </c>
      <c r="AN82" t="s">
        <v>74</v>
      </c>
      <c r="AO82" t="s">
        <v>126</v>
      </c>
      <c r="AP82" t="s">
        <v>127</v>
      </c>
      <c r="AQ82" t="s">
        <v>74</v>
      </c>
      <c r="AR82" t="s">
        <v>74</v>
      </c>
      <c r="AS82" t="s">
        <v>74</v>
      </c>
      <c r="AT82" t="s">
        <v>675</v>
      </c>
      <c r="AU82">
        <v>2021</v>
      </c>
      <c r="AV82">
        <v>258</v>
      </c>
      <c r="AW82" t="s">
        <v>74</v>
      </c>
      <c r="AX82" t="s">
        <v>74</v>
      </c>
      <c r="AY82" t="s">
        <v>74</v>
      </c>
      <c r="AZ82" t="s">
        <v>74</v>
      </c>
      <c r="BA82" t="s">
        <v>74</v>
      </c>
      <c r="BB82" t="s">
        <v>74</v>
      </c>
      <c r="BC82" t="s">
        <v>74</v>
      </c>
      <c r="BD82">
        <v>112399</v>
      </c>
      <c r="BE82" t="s">
        <v>676</v>
      </c>
      <c r="BF82" t="str">
        <f>HYPERLINK("http://dx.doi.org/10.1016/j.rse.2021.112399","http://dx.doi.org/10.1016/j.rse.2021.112399")</f>
        <v>http://dx.doi.org/10.1016/j.rse.2021.112399</v>
      </c>
      <c r="BG82" t="s">
        <v>74</v>
      </c>
      <c r="BH82" t="s">
        <v>677</v>
      </c>
      <c r="BI82" t="s">
        <v>74</v>
      </c>
      <c r="BJ82" t="s">
        <v>74</v>
      </c>
      <c r="BK82" t="s">
        <v>74</v>
      </c>
      <c r="BL82" t="s">
        <v>74</v>
      </c>
      <c r="BM82" t="s">
        <v>74</v>
      </c>
      <c r="BN82" t="s">
        <v>74</v>
      </c>
      <c r="BO82" t="s">
        <v>74</v>
      </c>
      <c r="BP82" t="s">
        <v>74</v>
      </c>
      <c r="BQ82" t="s">
        <v>74</v>
      </c>
      <c r="BR82" t="s">
        <v>74</v>
      </c>
      <c r="BS82" t="s">
        <v>678</v>
      </c>
      <c r="BT82" t="str">
        <f>HYPERLINK("https%3A%2F%2Fwww.webofscience.com%2Fwos%2Fwoscc%2Ffull-record%2FWOS:000637767400001","View Full Record in Web of Science")</f>
        <v>View Full Record in Web of Science</v>
      </c>
    </row>
    <row r="83" spans="1:72" x14ac:dyDescent="0.15">
      <c r="A83" t="s">
        <v>72</v>
      </c>
      <c r="B83" t="s">
        <v>1421</v>
      </c>
      <c r="C83" t="s">
        <v>74</v>
      </c>
      <c r="D83" t="s">
        <v>74</v>
      </c>
      <c r="E83" t="s">
        <v>74</v>
      </c>
      <c r="F83" t="s">
        <v>1422</v>
      </c>
      <c r="G83" t="s">
        <v>74</v>
      </c>
      <c r="H83" t="s">
        <v>74</v>
      </c>
      <c r="I83" t="s">
        <v>1423</v>
      </c>
      <c r="J83" t="s">
        <v>96</v>
      </c>
      <c r="K83" t="s">
        <v>74</v>
      </c>
      <c r="L83" t="s">
        <v>74</v>
      </c>
      <c r="M83" t="s">
        <v>74</v>
      </c>
      <c r="N83" t="s">
        <v>74</v>
      </c>
      <c r="O83" t="s">
        <v>74</v>
      </c>
      <c r="P83" t="s">
        <v>74</v>
      </c>
      <c r="Q83" t="s">
        <v>74</v>
      </c>
      <c r="R83" t="s">
        <v>74</v>
      </c>
      <c r="S83" t="s">
        <v>74</v>
      </c>
      <c r="T83" t="s">
        <v>74</v>
      </c>
      <c r="U83" t="s">
        <v>74</v>
      </c>
      <c r="V83" t="s">
        <v>1424</v>
      </c>
      <c r="W83" t="s">
        <v>74</v>
      </c>
      <c r="X83" t="s">
        <v>74</v>
      </c>
      <c r="Y83" t="s">
        <v>74</v>
      </c>
      <c r="Z83" t="s">
        <v>74</v>
      </c>
      <c r="AA83" t="s">
        <v>1425</v>
      </c>
      <c r="AB83" t="s">
        <v>1426</v>
      </c>
      <c r="AC83" t="s">
        <v>74</v>
      </c>
      <c r="AD83" t="s">
        <v>74</v>
      </c>
      <c r="AE83" t="s">
        <v>74</v>
      </c>
      <c r="AF83" t="s">
        <v>74</v>
      </c>
      <c r="AG83" t="s">
        <v>74</v>
      </c>
      <c r="AH83" t="s">
        <v>74</v>
      </c>
      <c r="AI83" t="s">
        <v>74</v>
      </c>
      <c r="AJ83" t="s">
        <v>74</v>
      </c>
      <c r="AK83" t="s">
        <v>74</v>
      </c>
      <c r="AL83" t="s">
        <v>74</v>
      </c>
      <c r="AM83" t="s">
        <v>74</v>
      </c>
      <c r="AN83" t="s">
        <v>74</v>
      </c>
      <c r="AO83" t="s">
        <v>99</v>
      </c>
      <c r="AP83" t="s">
        <v>100</v>
      </c>
      <c r="AQ83" t="s">
        <v>74</v>
      </c>
      <c r="AR83" t="s">
        <v>74</v>
      </c>
      <c r="AS83" t="s">
        <v>74</v>
      </c>
      <c r="AT83" t="s">
        <v>1208</v>
      </c>
      <c r="AU83">
        <v>2021</v>
      </c>
      <c r="AV83">
        <v>59</v>
      </c>
      <c r="AW83">
        <v>3</v>
      </c>
      <c r="AX83" t="s">
        <v>74</v>
      </c>
      <c r="AY83" t="s">
        <v>74</v>
      </c>
      <c r="AZ83" t="s">
        <v>74</v>
      </c>
      <c r="BA83" t="s">
        <v>74</v>
      </c>
      <c r="BB83">
        <v>1876</v>
      </c>
      <c r="BC83">
        <v>1889</v>
      </c>
      <c r="BD83" t="s">
        <v>74</v>
      </c>
      <c r="BE83" t="s">
        <v>1427</v>
      </c>
      <c r="BF83" t="str">
        <f>HYPERLINK("http://dx.doi.org/10.1109/TGRS.2020.3004594","http://dx.doi.org/10.1109/TGRS.2020.3004594")</f>
        <v>http://dx.doi.org/10.1109/TGRS.2020.3004594</v>
      </c>
      <c r="BG83" t="s">
        <v>74</v>
      </c>
      <c r="BH83" t="s">
        <v>74</v>
      </c>
      <c r="BI83" t="s">
        <v>74</v>
      </c>
      <c r="BJ83" t="s">
        <v>74</v>
      </c>
      <c r="BK83" t="s">
        <v>74</v>
      </c>
      <c r="BL83" t="s">
        <v>74</v>
      </c>
      <c r="BM83" t="s">
        <v>74</v>
      </c>
      <c r="BN83" t="s">
        <v>74</v>
      </c>
      <c r="BO83" t="s">
        <v>74</v>
      </c>
      <c r="BP83" t="s">
        <v>74</v>
      </c>
      <c r="BQ83" t="s">
        <v>74</v>
      </c>
      <c r="BR83" t="s">
        <v>74</v>
      </c>
      <c r="BS83" t="s">
        <v>1428</v>
      </c>
      <c r="BT83" t="str">
        <f>HYPERLINK("https%3A%2F%2Fwww.webofscience.com%2Fwos%2Fwoscc%2Ffull-record%2FWOS:000622319000006","View Full Record in Web of Science")</f>
        <v>View Full Record in Web of Science</v>
      </c>
    </row>
    <row r="84" spans="1:72" x14ac:dyDescent="0.15">
      <c r="A84" t="s">
        <v>72</v>
      </c>
      <c r="B84" t="s">
        <v>1429</v>
      </c>
      <c r="C84" t="s">
        <v>74</v>
      </c>
      <c r="D84" t="s">
        <v>74</v>
      </c>
      <c r="E84" t="s">
        <v>74</v>
      </c>
      <c r="F84" t="s">
        <v>1430</v>
      </c>
      <c r="G84" t="s">
        <v>74</v>
      </c>
      <c r="H84" t="s">
        <v>74</v>
      </c>
      <c r="I84" t="s">
        <v>1431</v>
      </c>
      <c r="J84" t="s">
        <v>77</v>
      </c>
      <c r="K84" t="s">
        <v>74</v>
      </c>
      <c r="L84" t="s">
        <v>74</v>
      </c>
      <c r="M84" t="s">
        <v>74</v>
      </c>
      <c r="N84" t="s">
        <v>74</v>
      </c>
      <c r="O84" t="s">
        <v>74</v>
      </c>
      <c r="P84" t="s">
        <v>74</v>
      </c>
      <c r="Q84" t="s">
        <v>74</v>
      </c>
      <c r="R84" t="s">
        <v>74</v>
      </c>
      <c r="S84" t="s">
        <v>74</v>
      </c>
      <c r="T84" t="s">
        <v>74</v>
      </c>
      <c r="U84" t="s">
        <v>74</v>
      </c>
      <c r="V84" t="s">
        <v>1432</v>
      </c>
      <c r="W84" t="s">
        <v>74</v>
      </c>
      <c r="X84" t="s">
        <v>74</v>
      </c>
      <c r="Y84" t="s">
        <v>74</v>
      </c>
      <c r="Z84" t="s">
        <v>74</v>
      </c>
      <c r="AA84" t="s">
        <v>1362</v>
      </c>
      <c r="AB84" t="s">
        <v>1433</v>
      </c>
      <c r="AC84" t="s">
        <v>74</v>
      </c>
      <c r="AD84" t="s">
        <v>74</v>
      </c>
      <c r="AE84" t="s">
        <v>74</v>
      </c>
      <c r="AF84" t="s">
        <v>74</v>
      </c>
      <c r="AG84" t="s">
        <v>74</v>
      </c>
      <c r="AH84" t="s">
        <v>74</v>
      </c>
      <c r="AI84" t="s">
        <v>74</v>
      </c>
      <c r="AJ84" t="s">
        <v>74</v>
      </c>
      <c r="AK84" t="s">
        <v>74</v>
      </c>
      <c r="AL84" t="s">
        <v>74</v>
      </c>
      <c r="AM84" t="s">
        <v>74</v>
      </c>
      <c r="AN84" t="s">
        <v>74</v>
      </c>
      <c r="AO84" t="s">
        <v>79</v>
      </c>
      <c r="AP84" t="s">
        <v>80</v>
      </c>
      <c r="AQ84" t="s">
        <v>74</v>
      </c>
      <c r="AR84" t="s">
        <v>74</v>
      </c>
      <c r="AS84" t="s">
        <v>74</v>
      </c>
      <c r="AT84" t="s">
        <v>936</v>
      </c>
      <c r="AU84">
        <v>2021</v>
      </c>
      <c r="AV84">
        <v>15</v>
      </c>
      <c r="AW84">
        <v>2</v>
      </c>
      <c r="AX84" t="s">
        <v>74</v>
      </c>
      <c r="AY84" t="s">
        <v>74</v>
      </c>
      <c r="AZ84" t="s">
        <v>74</v>
      </c>
      <c r="BA84" t="s">
        <v>74</v>
      </c>
      <c r="BB84">
        <v>835</v>
      </c>
      <c r="BC84">
        <v>861</v>
      </c>
      <c r="BD84" t="s">
        <v>74</v>
      </c>
      <c r="BE84" t="s">
        <v>1434</v>
      </c>
      <c r="BF84" t="str">
        <f>HYPERLINK("http://dx.doi.org/10.5194/tc-15-835-2021","http://dx.doi.org/10.5194/tc-15-835-2021")</f>
        <v>http://dx.doi.org/10.5194/tc-15-835-2021</v>
      </c>
      <c r="BG84" t="s">
        <v>74</v>
      </c>
      <c r="BH84" t="s">
        <v>74</v>
      </c>
      <c r="BI84" t="s">
        <v>74</v>
      </c>
      <c r="BJ84" t="s">
        <v>74</v>
      </c>
      <c r="BK84" t="s">
        <v>74</v>
      </c>
      <c r="BL84" t="s">
        <v>74</v>
      </c>
      <c r="BM84" t="s">
        <v>74</v>
      </c>
      <c r="BN84" t="s">
        <v>74</v>
      </c>
      <c r="BO84" t="s">
        <v>74</v>
      </c>
      <c r="BP84" t="s">
        <v>74</v>
      </c>
      <c r="BQ84" t="s">
        <v>74</v>
      </c>
      <c r="BR84" t="s">
        <v>74</v>
      </c>
      <c r="BS84" t="s">
        <v>1435</v>
      </c>
      <c r="BT84" t="str">
        <f>HYPERLINK("https%3A%2F%2Fwww.webofscience.com%2Fwos%2Fwoscc%2Ffull-record%2FWOS:000621382900001","View Full Record in Web of Science")</f>
        <v>View Full Record in Web of Science</v>
      </c>
    </row>
    <row r="85" spans="1:72" x14ac:dyDescent="0.15">
      <c r="A85" t="s">
        <v>72</v>
      </c>
      <c r="B85" t="s">
        <v>1436</v>
      </c>
      <c r="C85" t="s">
        <v>74</v>
      </c>
      <c r="D85" t="s">
        <v>74</v>
      </c>
      <c r="E85" t="s">
        <v>74</v>
      </c>
      <c r="F85" t="s">
        <v>1437</v>
      </c>
      <c r="G85" t="s">
        <v>74</v>
      </c>
      <c r="H85" t="s">
        <v>74</v>
      </c>
      <c r="I85" t="s">
        <v>1438</v>
      </c>
      <c r="J85" t="s">
        <v>147</v>
      </c>
      <c r="K85" t="s">
        <v>74</v>
      </c>
      <c r="L85" t="s">
        <v>74</v>
      </c>
      <c r="M85" t="s">
        <v>74</v>
      </c>
      <c r="N85" t="s">
        <v>74</v>
      </c>
      <c r="O85" t="s">
        <v>74</v>
      </c>
      <c r="P85" t="s">
        <v>74</v>
      </c>
      <c r="Q85" t="s">
        <v>74</v>
      </c>
      <c r="R85" t="s">
        <v>74</v>
      </c>
      <c r="S85" t="s">
        <v>74</v>
      </c>
      <c r="T85" t="s">
        <v>74</v>
      </c>
      <c r="U85" t="s">
        <v>74</v>
      </c>
      <c r="V85" t="s">
        <v>1439</v>
      </c>
      <c r="W85" t="s">
        <v>74</v>
      </c>
      <c r="X85" t="s">
        <v>74</v>
      </c>
      <c r="Y85" t="s">
        <v>74</v>
      </c>
      <c r="Z85" t="s">
        <v>74</v>
      </c>
      <c r="AA85" t="s">
        <v>1440</v>
      </c>
      <c r="AB85" t="s">
        <v>1441</v>
      </c>
      <c r="AC85" t="s">
        <v>74</v>
      </c>
      <c r="AD85" t="s">
        <v>74</v>
      </c>
      <c r="AE85" t="s">
        <v>74</v>
      </c>
      <c r="AF85" t="s">
        <v>74</v>
      </c>
      <c r="AG85" t="s">
        <v>74</v>
      </c>
      <c r="AH85" t="s">
        <v>74</v>
      </c>
      <c r="AI85" t="s">
        <v>74</v>
      </c>
      <c r="AJ85" t="s">
        <v>74</v>
      </c>
      <c r="AK85" t="s">
        <v>74</v>
      </c>
      <c r="AL85" t="s">
        <v>74</v>
      </c>
      <c r="AM85" t="s">
        <v>74</v>
      </c>
      <c r="AN85" t="s">
        <v>74</v>
      </c>
      <c r="AO85" t="s">
        <v>74</v>
      </c>
      <c r="AP85" t="s">
        <v>151</v>
      </c>
      <c r="AQ85" t="s">
        <v>74</v>
      </c>
      <c r="AR85" t="s">
        <v>74</v>
      </c>
      <c r="AS85" t="s">
        <v>74</v>
      </c>
      <c r="AT85" t="s">
        <v>311</v>
      </c>
      <c r="AU85">
        <v>2021</v>
      </c>
      <c r="AV85">
        <v>13</v>
      </c>
      <c r="AW85">
        <v>4</v>
      </c>
      <c r="AX85" t="s">
        <v>74</v>
      </c>
      <c r="AY85" t="s">
        <v>74</v>
      </c>
      <c r="AZ85" t="s">
        <v>74</v>
      </c>
      <c r="BA85" t="s">
        <v>74</v>
      </c>
      <c r="BB85" t="s">
        <v>74</v>
      </c>
      <c r="BC85" t="s">
        <v>74</v>
      </c>
      <c r="BD85">
        <v>616</v>
      </c>
      <c r="BE85" t="s">
        <v>1442</v>
      </c>
      <c r="BF85" t="str">
        <f>HYPERLINK("http://dx.doi.org/10.3390/rs13040616","http://dx.doi.org/10.3390/rs13040616")</f>
        <v>http://dx.doi.org/10.3390/rs13040616</v>
      </c>
      <c r="BG85" t="s">
        <v>74</v>
      </c>
      <c r="BH85" t="s">
        <v>74</v>
      </c>
      <c r="BI85" t="s">
        <v>74</v>
      </c>
      <c r="BJ85" t="s">
        <v>74</v>
      </c>
      <c r="BK85" t="s">
        <v>74</v>
      </c>
      <c r="BL85" t="s">
        <v>74</v>
      </c>
      <c r="BM85" t="s">
        <v>74</v>
      </c>
      <c r="BN85" t="s">
        <v>74</v>
      </c>
      <c r="BO85" t="s">
        <v>74</v>
      </c>
      <c r="BP85" t="s">
        <v>74</v>
      </c>
      <c r="BQ85" t="s">
        <v>74</v>
      </c>
      <c r="BR85" t="s">
        <v>74</v>
      </c>
      <c r="BS85" t="s">
        <v>1443</v>
      </c>
      <c r="BT85" t="str">
        <f>HYPERLINK("https%3A%2F%2Fwww.webofscience.com%2Fwos%2Fwoscc%2Ffull-record%2FWOS:000624428800001","View Full Record in Web of Science")</f>
        <v>View Full Record in Web of Science</v>
      </c>
    </row>
    <row r="86" spans="1:72" x14ac:dyDescent="0.15">
      <c r="A86" t="s">
        <v>72</v>
      </c>
      <c r="B86" t="s">
        <v>679</v>
      </c>
      <c r="C86" t="s">
        <v>74</v>
      </c>
      <c r="D86" t="s">
        <v>74</v>
      </c>
      <c r="E86" t="s">
        <v>74</v>
      </c>
      <c r="F86" t="s">
        <v>680</v>
      </c>
      <c r="G86" t="s">
        <v>74</v>
      </c>
      <c r="H86" t="s">
        <v>74</v>
      </c>
      <c r="I86" t="s">
        <v>681</v>
      </c>
      <c r="J86" t="s">
        <v>122</v>
      </c>
      <c r="K86" t="s">
        <v>74</v>
      </c>
      <c r="L86" t="s">
        <v>74</v>
      </c>
      <c r="M86" t="s">
        <v>74</v>
      </c>
      <c r="N86" t="s">
        <v>74</v>
      </c>
      <c r="O86" t="s">
        <v>74</v>
      </c>
      <c r="P86" t="s">
        <v>74</v>
      </c>
      <c r="Q86" t="s">
        <v>74</v>
      </c>
      <c r="R86" t="s">
        <v>74</v>
      </c>
      <c r="S86" t="s">
        <v>74</v>
      </c>
      <c r="T86" t="s">
        <v>74</v>
      </c>
      <c r="U86" t="s">
        <v>74</v>
      </c>
      <c r="V86" t="s">
        <v>682</v>
      </c>
      <c r="W86" t="s">
        <v>74</v>
      </c>
      <c r="X86" t="s">
        <v>74</v>
      </c>
      <c r="Y86" t="s">
        <v>74</v>
      </c>
      <c r="Z86" t="s">
        <v>74</v>
      </c>
      <c r="AA86" t="s">
        <v>683</v>
      </c>
      <c r="AB86" t="s">
        <v>684</v>
      </c>
      <c r="AC86" t="s">
        <v>74</v>
      </c>
      <c r="AD86" t="s">
        <v>74</v>
      </c>
      <c r="AE86" t="s">
        <v>74</v>
      </c>
      <c r="AF86" t="s">
        <v>74</v>
      </c>
      <c r="AG86" t="s">
        <v>74</v>
      </c>
      <c r="AH86" t="s">
        <v>74</v>
      </c>
      <c r="AI86" t="s">
        <v>74</v>
      </c>
      <c r="AJ86" t="s">
        <v>74</v>
      </c>
      <c r="AK86" t="s">
        <v>74</v>
      </c>
      <c r="AL86" t="s">
        <v>74</v>
      </c>
      <c r="AM86" t="s">
        <v>74</v>
      </c>
      <c r="AN86" t="s">
        <v>74</v>
      </c>
      <c r="AO86" t="s">
        <v>126</v>
      </c>
      <c r="AP86" t="s">
        <v>127</v>
      </c>
      <c r="AQ86" t="s">
        <v>74</v>
      </c>
      <c r="AR86" t="s">
        <v>74</v>
      </c>
      <c r="AS86" t="s">
        <v>74</v>
      </c>
      <c r="AT86" t="s">
        <v>685</v>
      </c>
      <c r="AU86">
        <v>2021</v>
      </c>
      <c r="AV86">
        <v>255</v>
      </c>
      <c r="AW86" t="s">
        <v>74</v>
      </c>
      <c r="AX86" t="s">
        <v>74</v>
      </c>
      <c r="AY86" t="s">
        <v>74</v>
      </c>
      <c r="AZ86" t="s">
        <v>74</v>
      </c>
      <c r="BA86" t="s">
        <v>74</v>
      </c>
      <c r="BB86" t="s">
        <v>74</v>
      </c>
      <c r="BC86" t="s">
        <v>74</v>
      </c>
      <c r="BD86">
        <v>112294</v>
      </c>
      <c r="BE86" t="s">
        <v>686</v>
      </c>
      <c r="BF86" t="str">
        <f>HYPERLINK("http://dx.doi.org/10.1016/j.rse.2021.112294","http://dx.doi.org/10.1016/j.rse.2021.112294")</f>
        <v>http://dx.doi.org/10.1016/j.rse.2021.112294</v>
      </c>
      <c r="BG86" t="s">
        <v>74</v>
      </c>
      <c r="BH86" t="s">
        <v>687</v>
      </c>
      <c r="BI86" t="s">
        <v>74</v>
      </c>
      <c r="BJ86" t="s">
        <v>74</v>
      </c>
      <c r="BK86" t="s">
        <v>74</v>
      </c>
      <c r="BL86" t="s">
        <v>74</v>
      </c>
      <c r="BM86" t="s">
        <v>74</v>
      </c>
      <c r="BN86" t="s">
        <v>74</v>
      </c>
      <c r="BO86" t="s">
        <v>74</v>
      </c>
      <c r="BP86" t="s">
        <v>74</v>
      </c>
      <c r="BQ86" t="s">
        <v>74</v>
      </c>
      <c r="BR86" t="s">
        <v>74</v>
      </c>
      <c r="BS86" t="s">
        <v>688</v>
      </c>
      <c r="BT86" t="str">
        <f>HYPERLINK("https%3A%2F%2Fwww.webofscience.com%2Fwos%2Fwoscc%2Ffull-record%2FWOS:000619233500003","View Full Record in Web of Science")</f>
        <v>View Full Record in Web of Science</v>
      </c>
    </row>
    <row r="87" spans="1:72" x14ac:dyDescent="0.15">
      <c r="A87" t="s">
        <v>252</v>
      </c>
      <c r="B87" t="s">
        <v>1444</v>
      </c>
      <c r="C87" t="s">
        <v>74</v>
      </c>
      <c r="D87" t="s">
        <v>74</v>
      </c>
      <c r="E87" t="s">
        <v>254</v>
      </c>
      <c r="F87" t="s">
        <v>1445</v>
      </c>
      <c r="G87" t="s">
        <v>74</v>
      </c>
      <c r="H87" t="s">
        <v>74</v>
      </c>
      <c r="I87" t="s">
        <v>1446</v>
      </c>
      <c r="J87" t="s">
        <v>692</v>
      </c>
      <c r="K87" t="s">
        <v>258</v>
      </c>
      <c r="L87" t="s">
        <v>74</v>
      </c>
      <c r="M87" t="s">
        <v>74</v>
      </c>
      <c r="N87" t="s">
        <v>74</v>
      </c>
      <c r="O87" t="s">
        <v>388</v>
      </c>
      <c r="P87" t="s">
        <v>693</v>
      </c>
      <c r="Q87" t="s">
        <v>694</v>
      </c>
      <c r="R87" t="s">
        <v>695</v>
      </c>
      <c r="S87" t="s">
        <v>74</v>
      </c>
      <c r="T87" t="s">
        <v>74</v>
      </c>
      <c r="U87" t="s">
        <v>74</v>
      </c>
      <c r="V87" t="s">
        <v>1447</v>
      </c>
      <c r="W87" t="s">
        <v>74</v>
      </c>
      <c r="X87" t="s">
        <v>74</v>
      </c>
      <c r="Y87" t="s">
        <v>74</v>
      </c>
      <c r="Z87" t="s">
        <v>74</v>
      </c>
      <c r="AA87" t="s">
        <v>1448</v>
      </c>
      <c r="AB87" t="s">
        <v>74</v>
      </c>
      <c r="AC87" t="s">
        <v>74</v>
      </c>
      <c r="AD87" t="s">
        <v>74</v>
      </c>
      <c r="AE87" t="s">
        <v>74</v>
      </c>
      <c r="AF87" t="s">
        <v>74</v>
      </c>
      <c r="AG87" t="s">
        <v>74</v>
      </c>
      <c r="AH87" t="s">
        <v>74</v>
      </c>
      <c r="AI87" t="s">
        <v>74</v>
      </c>
      <c r="AJ87" t="s">
        <v>74</v>
      </c>
      <c r="AK87" t="s">
        <v>74</v>
      </c>
      <c r="AL87" t="s">
        <v>74</v>
      </c>
      <c r="AM87" t="s">
        <v>74</v>
      </c>
      <c r="AN87" t="s">
        <v>74</v>
      </c>
      <c r="AO87" t="s">
        <v>265</v>
      </c>
      <c r="AP87" t="s">
        <v>74</v>
      </c>
      <c r="AQ87" t="s">
        <v>697</v>
      </c>
      <c r="AR87" t="s">
        <v>74</v>
      </c>
      <c r="AS87" t="s">
        <v>74</v>
      </c>
      <c r="AT87" t="s">
        <v>74</v>
      </c>
      <c r="AU87">
        <v>2021</v>
      </c>
      <c r="AV87" t="s">
        <v>74</v>
      </c>
      <c r="AW87" t="s">
        <v>74</v>
      </c>
      <c r="AX87" t="s">
        <v>74</v>
      </c>
      <c r="AY87" t="s">
        <v>74</v>
      </c>
      <c r="AZ87" t="s">
        <v>74</v>
      </c>
      <c r="BA87" t="s">
        <v>74</v>
      </c>
      <c r="BB87">
        <v>5485</v>
      </c>
      <c r="BC87">
        <v>5488</v>
      </c>
      <c r="BD87" t="s">
        <v>74</v>
      </c>
      <c r="BE87" t="s">
        <v>1449</v>
      </c>
      <c r="BF87" t="str">
        <f>HYPERLINK("http://dx.doi.org/10.1109/IGARSS47720.2021.9554366","http://dx.doi.org/10.1109/IGARSS47720.2021.9554366")</f>
        <v>http://dx.doi.org/10.1109/IGARSS47720.2021.9554366</v>
      </c>
      <c r="BG87" t="s">
        <v>74</v>
      </c>
      <c r="BH87" t="s">
        <v>74</v>
      </c>
      <c r="BI87" t="s">
        <v>74</v>
      </c>
      <c r="BJ87" t="s">
        <v>74</v>
      </c>
      <c r="BK87" t="s">
        <v>74</v>
      </c>
      <c r="BL87" t="s">
        <v>74</v>
      </c>
      <c r="BM87" t="s">
        <v>74</v>
      </c>
      <c r="BN87" t="s">
        <v>74</v>
      </c>
      <c r="BO87" t="s">
        <v>74</v>
      </c>
      <c r="BP87" t="s">
        <v>74</v>
      </c>
      <c r="BQ87" t="s">
        <v>74</v>
      </c>
      <c r="BR87" t="s">
        <v>74</v>
      </c>
      <c r="BS87" t="s">
        <v>1450</v>
      </c>
      <c r="BT87" t="str">
        <f>HYPERLINK("https%3A%2F%2Fwww.webofscience.com%2Fwos%2Fwoscc%2Ffull-record%2FWOS:001250139805165","View Full Record in Web of Science")</f>
        <v>View Full Record in Web of Science</v>
      </c>
    </row>
    <row r="88" spans="1:72" x14ac:dyDescent="0.15">
      <c r="A88" t="s">
        <v>252</v>
      </c>
      <c r="B88" t="s">
        <v>1451</v>
      </c>
      <c r="C88" t="s">
        <v>74</v>
      </c>
      <c r="D88" t="s">
        <v>74</v>
      </c>
      <c r="E88" t="s">
        <v>254</v>
      </c>
      <c r="F88" t="s">
        <v>1452</v>
      </c>
      <c r="G88" t="s">
        <v>74</v>
      </c>
      <c r="H88" t="s">
        <v>74</v>
      </c>
      <c r="I88" t="s">
        <v>1453</v>
      </c>
      <c r="J88" t="s">
        <v>692</v>
      </c>
      <c r="K88" t="s">
        <v>258</v>
      </c>
      <c r="L88" t="s">
        <v>74</v>
      </c>
      <c r="M88" t="s">
        <v>74</v>
      </c>
      <c r="N88" t="s">
        <v>74</v>
      </c>
      <c r="O88" t="s">
        <v>388</v>
      </c>
      <c r="P88" t="s">
        <v>693</v>
      </c>
      <c r="Q88" t="s">
        <v>694</v>
      </c>
      <c r="R88" t="s">
        <v>695</v>
      </c>
      <c r="S88" t="s">
        <v>74</v>
      </c>
      <c r="T88" t="s">
        <v>74</v>
      </c>
      <c r="U88" t="s">
        <v>74</v>
      </c>
      <c r="V88" t="s">
        <v>1454</v>
      </c>
      <c r="W88" t="s">
        <v>74</v>
      </c>
      <c r="X88" t="s">
        <v>74</v>
      </c>
      <c r="Y88" t="s">
        <v>74</v>
      </c>
      <c r="Z88" t="s">
        <v>74</v>
      </c>
      <c r="AA88" t="s">
        <v>74</v>
      </c>
      <c r="AB88" t="s">
        <v>74</v>
      </c>
      <c r="AC88" t="s">
        <v>74</v>
      </c>
      <c r="AD88" t="s">
        <v>74</v>
      </c>
      <c r="AE88" t="s">
        <v>74</v>
      </c>
      <c r="AF88" t="s">
        <v>74</v>
      </c>
      <c r="AG88" t="s">
        <v>74</v>
      </c>
      <c r="AH88" t="s">
        <v>74</v>
      </c>
      <c r="AI88" t="s">
        <v>74</v>
      </c>
      <c r="AJ88" t="s">
        <v>74</v>
      </c>
      <c r="AK88" t="s">
        <v>74</v>
      </c>
      <c r="AL88" t="s">
        <v>74</v>
      </c>
      <c r="AM88" t="s">
        <v>74</v>
      </c>
      <c r="AN88" t="s">
        <v>74</v>
      </c>
      <c r="AO88" t="s">
        <v>265</v>
      </c>
      <c r="AP88" t="s">
        <v>74</v>
      </c>
      <c r="AQ88" t="s">
        <v>697</v>
      </c>
      <c r="AR88" t="s">
        <v>74</v>
      </c>
      <c r="AS88" t="s">
        <v>74</v>
      </c>
      <c r="AT88" t="s">
        <v>74</v>
      </c>
      <c r="AU88">
        <v>2021</v>
      </c>
      <c r="AV88" t="s">
        <v>74</v>
      </c>
      <c r="AW88" t="s">
        <v>74</v>
      </c>
      <c r="AX88" t="s">
        <v>74</v>
      </c>
      <c r="AY88" t="s">
        <v>74</v>
      </c>
      <c r="AZ88" t="s">
        <v>74</v>
      </c>
      <c r="BA88" t="s">
        <v>74</v>
      </c>
      <c r="BB88">
        <v>7256</v>
      </c>
      <c r="BC88">
        <v>7259</v>
      </c>
      <c r="BD88" t="s">
        <v>74</v>
      </c>
      <c r="BE88" t="s">
        <v>1455</v>
      </c>
      <c r="BF88" t="str">
        <f>HYPERLINK("http://dx.doi.org/10.1109/IGARSS47720.2021.9553317","http://dx.doi.org/10.1109/IGARSS47720.2021.9553317")</f>
        <v>http://dx.doi.org/10.1109/IGARSS47720.2021.9553317</v>
      </c>
      <c r="BG88" t="s">
        <v>74</v>
      </c>
      <c r="BH88" t="s">
        <v>74</v>
      </c>
      <c r="BI88" t="s">
        <v>74</v>
      </c>
      <c r="BJ88" t="s">
        <v>74</v>
      </c>
      <c r="BK88" t="s">
        <v>74</v>
      </c>
      <c r="BL88" t="s">
        <v>74</v>
      </c>
      <c r="BM88" t="s">
        <v>74</v>
      </c>
      <c r="BN88" t="s">
        <v>74</v>
      </c>
      <c r="BO88" t="s">
        <v>74</v>
      </c>
      <c r="BP88" t="s">
        <v>74</v>
      </c>
      <c r="BQ88" t="s">
        <v>74</v>
      </c>
      <c r="BR88" t="s">
        <v>74</v>
      </c>
      <c r="BS88" t="s">
        <v>1456</v>
      </c>
      <c r="BT88" t="str">
        <f>HYPERLINK("https%3A%2F%2Fwww.webofscience.com%2Fwos%2Fwoscc%2Ffull-record%2FWOS:001250139807092","View Full Record in Web of Science")</f>
        <v>View Full Record in Web of Science</v>
      </c>
    </row>
    <row r="89" spans="1:72" x14ac:dyDescent="0.15">
      <c r="A89" t="s">
        <v>72</v>
      </c>
      <c r="B89" t="s">
        <v>1457</v>
      </c>
      <c r="C89" t="s">
        <v>74</v>
      </c>
      <c r="D89" t="s">
        <v>74</v>
      </c>
      <c r="E89" t="s">
        <v>74</v>
      </c>
      <c r="F89" t="s">
        <v>1458</v>
      </c>
      <c r="G89" t="s">
        <v>74</v>
      </c>
      <c r="H89" t="s">
        <v>74</v>
      </c>
      <c r="I89" t="s">
        <v>1459</v>
      </c>
      <c r="J89" t="s">
        <v>244</v>
      </c>
      <c r="K89" t="s">
        <v>74</v>
      </c>
      <c r="L89" t="s">
        <v>74</v>
      </c>
      <c r="M89" t="s">
        <v>74</v>
      </c>
      <c r="N89" t="s">
        <v>74</v>
      </c>
      <c r="O89" t="s">
        <v>74</v>
      </c>
      <c r="P89" t="s">
        <v>74</v>
      </c>
      <c r="Q89" t="s">
        <v>74</v>
      </c>
      <c r="R89" t="s">
        <v>74</v>
      </c>
      <c r="S89" t="s">
        <v>74</v>
      </c>
      <c r="T89" t="s">
        <v>74</v>
      </c>
      <c r="U89" t="s">
        <v>74</v>
      </c>
      <c r="V89" t="s">
        <v>1460</v>
      </c>
      <c r="W89" t="s">
        <v>74</v>
      </c>
      <c r="X89" t="s">
        <v>74</v>
      </c>
      <c r="Y89" t="s">
        <v>74</v>
      </c>
      <c r="Z89" t="s">
        <v>74</v>
      </c>
      <c r="AA89" t="s">
        <v>1461</v>
      </c>
      <c r="AB89" t="s">
        <v>1462</v>
      </c>
      <c r="AC89" t="s">
        <v>74</v>
      </c>
      <c r="AD89" t="s">
        <v>74</v>
      </c>
      <c r="AE89" t="s">
        <v>74</v>
      </c>
      <c r="AF89" t="s">
        <v>74</v>
      </c>
      <c r="AG89" t="s">
        <v>74</v>
      </c>
      <c r="AH89" t="s">
        <v>74</v>
      </c>
      <c r="AI89" t="s">
        <v>74</v>
      </c>
      <c r="AJ89" t="s">
        <v>74</v>
      </c>
      <c r="AK89" t="s">
        <v>74</v>
      </c>
      <c r="AL89" t="s">
        <v>74</v>
      </c>
      <c r="AM89" t="s">
        <v>74</v>
      </c>
      <c r="AN89" t="s">
        <v>74</v>
      </c>
      <c r="AO89" t="s">
        <v>248</v>
      </c>
      <c r="AP89" t="s">
        <v>249</v>
      </c>
      <c r="AQ89" t="s">
        <v>74</v>
      </c>
      <c r="AR89" t="s">
        <v>74</v>
      </c>
      <c r="AS89" t="s">
        <v>74</v>
      </c>
      <c r="AT89" t="s">
        <v>74</v>
      </c>
      <c r="AU89">
        <v>2021</v>
      </c>
      <c r="AV89">
        <v>14</v>
      </c>
      <c r="AW89" t="s">
        <v>74</v>
      </c>
      <c r="AX89" t="s">
        <v>74</v>
      </c>
      <c r="AY89" t="s">
        <v>74</v>
      </c>
      <c r="AZ89" t="s">
        <v>74</v>
      </c>
      <c r="BA89" t="s">
        <v>74</v>
      </c>
      <c r="BB89">
        <v>9223</v>
      </c>
      <c r="BC89">
        <v>9240</v>
      </c>
      <c r="BD89" t="s">
        <v>74</v>
      </c>
      <c r="BE89" t="s">
        <v>1463</v>
      </c>
      <c r="BF89" t="str">
        <f>HYPERLINK("http://dx.doi.org/10.1109/JSTARS.2021.3103585","http://dx.doi.org/10.1109/JSTARS.2021.3103585")</f>
        <v>http://dx.doi.org/10.1109/JSTARS.2021.3103585</v>
      </c>
      <c r="BG89" t="s">
        <v>74</v>
      </c>
      <c r="BH89" t="s">
        <v>74</v>
      </c>
      <c r="BI89" t="s">
        <v>74</v>
      </c>
      <c r="BJ89" t="s">
        <v>74</v>
      </c>
      <c r="BK89" t="s">
        <v>74</v>
      </c>
      <c r="BL89" t="s">
        <v>74</v>
      </c>
      <c r="BM89" t="s">
        <v>74</v>
      </c>
      <c r="BN89" t="s">
        <v>74</v>
      </c>
      <c r="BO89" t="s">
        <v>74</v>
      </c>
      <c r="BP89" t="s">
        <v>74</v>
      </c>
      <c r="BQ89" t="s">
        <v>74</v>
      </c>
      <c r="BR89" t="s">
        <v>74</v>
      </c>
      <c r="BS89" t="s">
        <v>1464</v>
      </c>
      <c r="BT89" t="str">
        <f>HYPERLINK("https%3A%2F%2Fwww.webofscience.com%2Fwos%2Fwoscc%2Ffull-record%2FWOS:000698859700002","View Full Record in Web of Science")</f>
        <v>View Full Record in Web of Science</v>
      </c>
    </row>
    <row r="90" spans="1:72" x14ac:dyDescent="0.15">
      <c r="A90" t="s">
        <v>72</v>
      </c>
      <c r="B90" t="s">
        <v>1465</v>
      </c>
      <c r="C90" t="s">
        <v>74</v>
      </c>
      <c r="D90" t="s">
        <v>74</v>
      </c>
      <c r="E90" t="s">
        <v>74</v>
      </c>
      <c r="F90" t="s">
        <v>1466</v>
      </c>
      <c r="G90" t="s">
        <v>74</v>
      </c>
      <c r="H90" t="s">
        <v>74</v>
      </c>
      <c r="I90" t="s">
        <v>1467</v>
      </c>
      <c r="J90" t="s">
        <v>147</v>
      </c>
      <c r="K90" t="s">
        <v>74</v>
      </c>
      <c r="L90" t="s">
        <v>74</v>
      </c>
      <c r="M90" t="s">
        <v>74</v>
      </c>
      <c r="N90" t="s">
        <v>74</v>
      </c>
      <c r="O90" t="s">
        <v>74</v>
      </c>
      <c r="P90" t="s">
        <v>74</v>
      </c>
      <c r="Q90" t="s">
        <v>74</v>
      </c>
      <c r="R90" t="s">
        <v>74</v>
      </c>
      <c r="S90" t="s">
        <v>74</v>
      </c>
      <c r="T90" t="s">
        <v>74</v>
      </c>
      <c r="U90" t="s">
        <v>74</v>
      </c>
      <c r="V90" t="s">
        <v>1468</v>
      </c>
      <c r="W90" t="s">
        <v>74</v>
      </c>
      <c r="X90" t="s">
        <v>74</v>
      </c>
      <c r="Y90" t="s">
        <v>74</v>
      </c>
      <c r="Z90" t="s">
        <v>74</v>
      </c>
      <c r="AA90" t="s">
        <v>1469</v>
      </c>
      <c r="AB90" t="s">
        <v>1470</v>
      </c>
      <c r="AC90" t="s">
        <v>74</v>
      </c>
      <c r="AD90" t="s">
        <v>74</v>
      </c>
      <c r="AE90" t="s">
        <v>74</v>
      </c>
      <c r="AF90" t="s">
        <v>74</v>
      </c>
      <c r="AG90" t="s">
        <v>74</v>
      </c>
      <c r="AH90" t="s">
        <v>74</v>
      </c>
      <c r="AI90" t="s">
        <v>74</v>
      </c>
      <c r="AJ90" t="s">
        <v>74</v>
      </c>
      <c r="AK90" t="s">
        <v>74</v>
      </c>
      <c r="AL90" t="s">
        <v>74</v>
      </c>
      <c r="AM90" t="s">
        <v>74</v>
      </c>
      <c r="AN90" t="s">
        <v>74</v>
      </c>
      <c r="AO90" t="s">
        <v>74</v>
      </c>
      <c r="AP90" t="s">
        <v>151</v>
      </c>
      <c r="AQ90" t="s">
        <v>74</v>
      </c>
      <c r="AR90" t="s">
        <v>74</v>
      </c>
      <c r="AS90" t="s">
        <v>74</v>
      </c>
      <c r="AT90" t="s">
        <v>405</v>
      </c>
      <c r="AU90">
        <v>2021</v>
      </c>
      <c r="AV90">
        <v>13</v>
      </c>
      <c r="AW90">
        <v>2</v>
      </c>
      <c r="AX90" t="s">
        <v>74</v>
      </c>
      <c r="AY90" t="s">
        <v>74</v>
      </c>
      <c r="AZ90" t="s">
        <v>74</v>
      </c>
      <c r="BA90" t="s">
        <v>74</v>
      </c>
      <c r="BB90" t="s">
        <v>74</v>
      </c>
      <c r="BC90" t="s">
        <v>74</v>
      </c>
      <c r="BD90">
        <v>300</v>
      </c>
      <c r="BE90" t="s">
        <v>1471</v>
      </c>
      <c r="BF90" t="str">
        <f>HYPERLINK("http://dx.doi.org/10.3390/rs13020300","http://dx.doi.org/10.3390/rs13020300")</f>
        <v>http://dx.doi.org/10.3390/rs13020300</v>
      </c>
      <c r="BG90" t="s">
        <v>74</v>
      </c>
      <c r="BH90" t="s">
        <v>74</v>
      </c>
      <c r="BI90" t="s">
        <v>74</v>
      </c>
      <c r="BJ90" t="s">
        <v>74</v>
      </c>
      <c r="BK90" t="s">
        <v>74</v>
      </c>
      <c r="BL90" t="s">
        <v>74</v>
      </c>
      <c r="BM90" t="s">
        <v>74</v>
      </c>
      <c r="BN90" t="s">
        <v>74</v>
      </c>
      <c r="BO90" t="s">
        <v>74</v>
      </c>
      <c r="BP90" t="s">
        <v>74</v>
      </c>
      <c r="BQ90" t="s">
        <v>74</v>
      </c>
      <c r="BR90" t="s">
        <v>74</v>
      </c>
      <c r="BS90" t="s">
        <v>1472</v>
      </c>
      <c r="BT90" t="str">
        <f>HYPERLINK("https%3A%2F%2Fwww.webofscience.com%2Fwos%2Fwoscc%2Ffull-record%2FWOS:000611558200001","View Full Record in Web of Science")</f>
        <v>View Full Record in Web of Science</v>
      </c>
    </row>
    <row r="91" spans="1:72" x14ac:dyDescent="0.15">
      <c r="A91" t="s">
        <v>252</v>
      </c>
      <c r="B91" t="s">
        <v>1473</v>
      </c>
      <c r="C91" t="s">
        <v>74</v>
      </c>
      <c r="D91" t="s">
        <v>74</v>
      </c>
      <c r="E91" t="s">
        <v>254</v>
      </c>
      <c r="F91" t="s">
        <v>1474</v>
      </c>
      <c r="G91" t="s">
        <v>74</v>
      </c>
      <c r="H91" t="s">
        <v>74</v>
      </c>
      <c r="I91" t="s">
        <v>1475</v>
      </c>
      <c r="J91" t="s">
        <v>1476</v>
      </c>
      <c r="K91" t="s">
        <v>1477</v>
      </c>
      <c r="L91" t="s">
        <v>74</v>
      </c>
      <c r="M91" t="s">
        <v>74</v>
      </c>
      <c r="N91" t="s">
        <v>74</v>
      </c>
      <c r="O91" t="s">
        <v>1478</v>
      </c>
      <c r="P91" t="s">
        <v>1479</v>
      </c>
      <c r="Q91" t="s">
        <v>694</v>
      </c>
      <c r="R91" t="s">
        <v>254</v>
      </c>
      <c r="S91" t="s">
        <v>74</v>
      </c>
      <c r="T91" t="s">
        <v>74</v>
      </c>
      <c r="U91" t="s">
        <v>74</v>
      </c>
      <c r="V91" t="s">
        <v>1480</v>
      </c>
      <c r="W91" t="s">
        <v>74</v>
      </c>
      <c r="X91" t="s">
        <v>74</v>
      </c>
      <c r="Y91" t="s">
        <v>74</v>
      </c>
      <c r="Z91" t="s">
        <v>74</v>
      </c>
      <c r="AA91" t="s">
        <v>74</v>
      </c>
      <c r="AB91" t="s">
        <v>74</v>
      </c>
      <c r="AC91" t="s">
        <v>74</v>
      </c>
      <c r="AD91" t="s">
        <v>74</v>
      </c>
      <c r="AE91" t="s">
        <v>74</v>
      </c>
      <c r="AF91" t="s">
        <v>74</v>
      </c>
      <c r="AG91" t="s">
        <v>74</v>
      </c>
      <c r="AH91" t="s">
        <v>74</v>
      </c>
      <c r="AI91" t="s">
        <v>74</v>
      </c>
      <c r="AJ91" t="s">
        <v>74</v>
      </c>
      <c r="AK91" t="s">
        <v>74</v>
      </c>
      <c r="AL91" t="s">
        <v>74</v>
      </c>
      <c r="AM91" t="s">
        <v>74</v>
      </c>
      <c r="AN91" t="s">
        <v>74</v>
      </c>
      <c r="AO91" t="s">
        <v>1481</v>
      </c>
      <c r="AP91" t="s">
        <v>74</v>
      </c>
      <c r="AQ91" t="s">
        <v>1482</v>
      </c>
      <c r="AR91" t="s">
        <v>74</v>
      </c>
      <c r="AS91" t="s">
        <v>74</v>
      </c>
      <c r="AT91" t="s">
        <v>74</v>
      </c>
      <c r="AU91">
        <v>2021</v>
      </c>
      <c r="AV91" t="s">
        <v>74</v>
      </c>
      <c r="AW91" t="s">
        <v>74</v>
      </c>
      <c r="AX91" t="s">
        <v>74</v>
      </c>
      <c r="AY91" t="s">
        <v>74</v>
      </c>
      <c r="AZ91" t="s">
        <v>74</v>
      </c>
      <c r="BA91" t="s">
        <v>74</v>
      </c>
      <c r="BB91" t="s">
        <v>74</v>
      </c>
      <c r="BC91" t="s">
        <v>74</v>
      </c>
      <c r="BD91" t="s">
        <v>74</v>
      </c>
      <c r="BE91" t="s">
        <v>1483</v>
      </c>
      <c r="BF91" t="str">
        <f>HYPERLINK("http://dx.doi.org/10.1109/ANTEM51107.2021.9518875","http://dx.doi.org/10.1109/ANTEM51107.2021.9518875")</f>
        <v>http://dx.doi.org/10.1109/ANTEM51107.2021.9518875</v>
      </c>
      <c r="BG91" t="s">
        <v>74</v>
      </c>
      <c r="BH91" t="s">
        <v>74</v>
      </c>
      <c r="BI91" t="s">
        <v>74</v>
      </c>
      <c r="BJ91" t="s">
        <v>74</v>
      </c>
      <c r="BK91" t="s">
        <v>74</v>
      </c>
      <c r="BL91" t="s">
        <v>74</v>
      </c>
      <c r="BM91" t="s">
        <v>74</v>
      </c>
      <c r="BN91" t="s">
        <v>74</v>
      </c>
      <c r="BO91" t="s">
        <v>74</v>
      </c>
      <c r="BP91" t="s">
        <v>74</v>
      </c>
      <c r="BQ91" t="s">
        <v>74</v>
      </c>
      <c r="BR91" t="s">
        <v>74</v>
      </c>
      <c r="BS91" t="s">
        <v>1484</v>
      </c>
      <c r="BT91" t="str">
        <f>HYPERLINK("https%3A%2F%2Fwww.webofscience.com%2Fwos%2Fwoscc%2Ffull-record%2FWOS:000698722600071","View Full Record in Web of Science")</f>
        <v>View Full Record in Web of Science</v>
      </c>
    </row>
    <row r="92" spans="1:72" x14ac:dyDescent="0.15">
      <c r="A92" t="s">
        <v>72</v>
      </c>
      <c r="B92" t="s">
        <v>707</v>
      </c>
      <c r="C92" t="s">
        <v>74</v>
      </c>
      <c r="D92" t="s">
        <v>74</v>
      </c>
      <c r="E92" t="s">
        <v>74</v>
      </c>
      <c r="F92" t="s">
        <v>708</v>
      </c>
      <c r="G92" t="s">
        <v>74</v>
      </c>
      <c r="H92" t="s">
        <v>74</v>
      </c>
      <c r="I92" t="s">
        <v>709</v>
      </c>
      <c r="J92" t="s">
        <v>710</v>
      </c>
      <c r="K92" t="s">
        <v>74</v>
      </c>
      <c r="L92" t="s">
        <v>74</v>
      </c>
      <c r="M92" t="s">
        <v>74</v>
      </c>
      <c r="N92" t="s">
        <v>74</v>
      </c>
      <c r="O92" t="s">
        <v>74</v>
      </c>
      <c r="P92" t="s">
        <v>74</v>
      </c>
      <c r="Q92" t="s">
        <v>74</v>
      </c>
      <c r="R92" t="s">
        <v>74</v>
      </c>
      <c r="S92" t="s">
        <v>74</v>
      </c>
      <c r="T92" t="s">
        <v>74</v>
      </c>
      <c r="U92" t="s">
        <v>74</v>
      </c>
      <c r="V92" t="s">
        <v>711</v>
      </c>
      <c r="W92" t="s">
        <v>74</v>
      </c>
      <c r="X92" t="s">
        <v>74</v>
      </c>
      <c r="Y92" t="s">
        <v>74</v>
      </c>
      <c r="Z92" t="s">
        <v>74</v>
      </c>
      <c r="AA92" t="s">
        <v>712</v>
      </c>
      <c r="AB92" t="s">
        <v>713</v>
      </c>
      <c r="AC92" t="s">
        <v>74</v>
      </c>
      <c r="AD92" t="s">
        <v>74</v>
      </c>
      <c r="AE92" t="s">
        <v>74</v>
      </c>
      <c r="AF92" t="s">
        <v>74</v>
      </c>
      <c r="AG92" t="s">
        <v>74</v>
      </c>
      <c r="AH92" t="s">
        <v>74</v>
      </c>
      <c r="AI92" t="s">
        <v>74</v>
      </c>
      <c r="AJ92" t="s">
        <v>74</v>
      </c>
      <c r="AK92" t="s">
        <v>74</v>
      </c>
      <c r="AL92" t="s">
        <v>74</v>
      </c>
      <c r="AM92" t="s">
        <v>74</v>
      </c>
      <c r="AN92" t="s">
        <v>74</v>
      </c>
      <c r="AO92" t="s">
        <v>714</v>
      </c>
      <c r="AP92" t="s">
        <v>715</v>
      </c>
      <c r="AQ92" t="s">
        <v>74</v>
      </c>
      <c r="AR92" t="s">
        <v>74</v>
      </c>
      <c r="AS92" t="s">
        <v>74</v>
      </c>
      <c r="AT92" t="s">
        <v>716</v>
      </c>
      <c r="AU92">
        <v>2020</v>
      </c>
      <c r="AV92">
        <v>13</v>
      </c>
      <c r="AW92">
        <v>15</v>
      </c>
      <c r="AX92" t="s">
        <v>74</v>
      </c>
      <c r="AY92" t="s">
        <v>74</v>
      </c>
      <c r="AZ92" t="s">
        <v>74</v>
      </c>
      <c r="BA92" t="s">
        <v>74</v>
      </c>
      <c r="BB92" t="s">
        <v>74</v>
      </c>
      <c r="BC92" t="s">
        <v>74</v>
      </c>
      <c r="BD92">
        <v>696</v>
      </c>
      <c r="BE92" t="s">
        <v>717</v>
      </c>
      <c r="BF92" t="str">
        <f>HYPERLINK("http://dx.doi.org/10.1007/s12517-020-05642-x","http://dx.doi.org/10.1007/s12517-020-05642-x")</f>
        <v>http://dx.doi.org/10.1007/s12517-020-05642-x</v>
      </c>
      <c r="BG92" t="s">
        <v>74</v>
      </c>
      <c r="BH92" t="s">
        <v>74</v>
      </c>
      <c r="BI92" t="s">
        <v>74</v>
      </c>
      <c r="BJ92" t="s">
        <v>74</v>
      </c>
      <c r="BK92" t="s">
        <v>74</v>
      </c>
      <c r="BL92" t="s">
        <v>74</v>
      </c>
      <c r="BM92" t="s">
        <v>74</v>
      </c>
      <c r="BN92" t="s">
        <v>74</v>
      </c>
      <c r="BO92" t="s">
        <v>74</v>
      </c>
      <c r="BP92" t="s">
        <v>74</v>
      </c>
      <c r="BQ92" t="s">
        <v>74</v>
      </c>
      <c r="BR92" t="s">
        <v>74</v>
      </c>
      <c r="BS92" t="s">
        <v>718</v>
      </c>
      <c r="BT92" t="str">
        <f>HYPERLINK("https%3A%2F%2Fwww.webofscience.com%2Fwos%2Fwoscc%2Ffull-record%2FWOS:000552403600005","View Full Record in Web of Science")</f>
        <v>View Full Record in Web of Science</v>
      </c>
    </row>
    <row r="93" spans="1:72" x14ac:dyDescent="0.15">
      <c r="A93" t="s">
        <v>72</v>
      </c>
      <c r="B93" t="s">
        <v>728</v>
      </c>
      <c r="C93" t="s">
        <v>74</v>
      </c>
      <c r="D93" t="s">
        <v>74</v>
      </c>
      <c r="E93" t="s">
        <v>74</v>
      </c>
      <c r="F93" t="s">
        <v>729</v>
      </c>
      <c r="G93" t="s">
        <v>74</v>
      </c>
      <c r="H93" t="s">
        <v>74</v>
      </c>
      <c r="I93" t="s">
        <v>730</v>
      </c>
      <c r="J93" t="s">
        <v>77</v>
      </c>
      <c r="K93" t="s">
        <v>74</v>
      </c>
      <c r="L93" t="s">
        <v>74</v>
      </c>
      <c r="M93" t="s">
        <v>74</v>
      </c>
      <c r="N93" t="s">
        <v>74</v>
      </c>
      <c r="O93" t="s">
        <v>74</v>
      </c>
      <c r="P93" t="s">
        <v>74</v>
      </c>
      <c r="Q93" t="s">
        <v>74</v>
      </c>
      <c r="R93" t="s">
        <v>74</v>
      </c>
      <c r="S93" t="s">
        <v>74</v>
      </c>
      <c r="T93" t="s">
        <v>74</v>
      </c>
      <c r="U93" t="s">
        <v>74</v>
      </c>
      <c r="V93" t="s">
        <v>731</v>
      </c>
      <c r="W93" t="s">
        <v>74</v>
      </c>
      <c r="X93" t="s">
        <v>74</v>
      </c>
      <c r="Y93" t="s">
        <v>74</v>
      </c>
      <c r="Z93" t="s">
        <v>74</v>
      </c>
      <c r="AA93" t="s">
        <v>732</v>
      </c>
      <c r="AB93" t="s">
        <v>733</v>
      </c>
      <c r="AC93" t="s">
        <v>74</v>
      </c>
      <c r="AD93" t="s">
        <v>74</v>
      </c>
      <c r="AE93" t="s">
        <v>74</v>
      </c>
      <c r="AF93" t="s">
        <v>74</v>
      </c>
      <c r="AG93" t="s">
        <v>74</v>
      </c>
      <c r="AH93" t="s">
        <v>74</v>
      </c>
      <c r="AI93" t="s">
        <v>74</v>
      </c>
      <c r="AJ93" t="s">
        <v>74</v>
      </c>
      <c r="AK93" t="s">
        <v>74</v>
      </c>
      <c r="AL93" t="s">
        <v>74</v>
      </c>
      <c r="AM93" t="s">
        <v>74</v>
      </c>
      <c r="AN93" t="s">
        <v>74</v>
      </c>
      <c r="AO93" t="s">
        <v>79</v>
      </c>
      <c r="AP93" t="s">
        <v>80</v>
      </c>
      <c r="AQ93" t="s">
        <v>74</v>
      </c>
      <c r="AR93" t="s">
        <v>74</v>
      </c>
      <c r="AS93" t="s">
        <v>74</v>
      </c>
      <c r="AT93" t="s">
        <v>734</v>
      </c>
      <c r="AU93">
        <v>2020</v>
      </c>
      <c r="AV93">
        <v>14</v>
      </c>
      <c r="AW93">
        <v>6</v>
      </c>
      <c r="AX93" t="s">
        <v>74</v>
      </c>
      <c r="AY93" t="s">
        <v>74</v>
      </c>
      <c r="AZ93" t="s">
        <v>74</v>
      </c>
      <c r="BA93" t="s">
        <v>74</v>
      </c>
      <c r="BB93">
        <v>1763</v>
      </c>
      <c r="BC93">
        <v>1778</v>
      </c>
      <c r="BD93" t="s">
        <v>74</v>
      </c>
      <c r="BE93" t="s">
        <v>735</v>
      </c>
      <c r="BF93" t="str">
        <f>HYPERLINK("http://dx.doi.org/10.5194/tc-14-1763-2020","http://dx.doi.org/10.5194/tc-14-1763-2020")</f>
        <v>http://dx.doi.org/10.5194/tc-14-1763-2020</v>
      </c>
      <c r="BG93" t="s">
        <v>74</v>
      </c>
      <c r="BH93" t="s">
        <v>74</v>
      </c>
      <c r="BI93" t="s">
        <v>74</v>
      </c>
      <c r="BJ93" t="s">
        <v>74</v>
      </c>
      <c r="BK93" t="s">
        <v>74</v>
      </c>
      <c r="BL93" t="s">
        <v>74</v>
      </c>
      <c r="BM93" t="s">
        <v>74</v>
      </c>
      <c r="BN93" t="s">
        <v>74</v>
      </c>
      <c r="BO93" t="s">
        <v>74</v>
      </c>
      <c r="BP93" t="s">
        <v>74</v>
      </c>
      <c r="BQ93" t="s">
        <v>74</v>
      </c>
      <c r="BR93" t="s">
        <v>74</v>
      </c>
      <c r="BS93" t="s">
        <v>736</v>
      </c>
      <c r="BT93" t="str">
        <f>HYPERLINK("https%3A%2F%2Fwww.webofscience.com%2Fwos%2Fwoscc%2Ffull-record%2FWOS:000538410900001","View Full Record in Web of Science")</f>
        <v>View Full Record in Web of Science</v>
      </c>
    </row>
    <row r="94" spans="1:72" x14ac:dyDescent="0.15">
      <c r="A94" t="s">
        <v>72</v>
      </c>
      <c r="B94" t="s">
        <v>1485</v>
      </c>
      <c r="C94" t="s">
        <v>74</v>
      </c>
      <c r="D94" t="s">
        <v>74</v>
      </c>
      <c r="E94" t="s">
        <v>74</v>
      </c>
      <c r="F94" t="s">
        <v>1486</v>
      </c>
      <c r="G94" t="s">
        <v>74</v>
      </c>
      <c r="H94" t="s">
        <v>74</v>
      </c>
      <c r="I94" t="s">
        <v>1487</v>
      </c>
      <c r="J94" t="s">
        <v>96</v>
      </c>
      <c r="K94" t="s">
        <v>74</v>
      </c>
      <c r="L94" t="s">
        <v>74</v>
      </c>
      <c r="M94" t="s">
        <v>74</v>
      </c>
      <c r="N94" t="s">
        <v>74</v>
      </c>
      <c r="O94" t="s">
        <v>74</v>
      </c>
      <c r="P94" t="s">
        <v>74</v>
      </c>
      <c r="Q94" t="s">
        <v>74</v>
      </c>
      <c r="R94" t="s">
        <v>74</v>
      </c>
      <c r="S94" t="s">
        <v>74</v>
      </c>
      <c r="T94" t="s">
        <v>74</v>
      </c>
      <c r="U94" t="s">
        <v>74</v>
      </c>
      <c r="V94" t="s">
        <v>1488</v>
      </c>
      <c r="W94" t="s">
        <v>74</v>
      </c>
      <c r="X94" t="s">
        <v>74</v>
      </c>
      <c r="Y94" t="s">
        <v>74</v>
      </c>
      <c r="Z94" t="s">
        <v>74</v>
      </c>
      <c r="AA94" t="s">
        <v>74</v>
      </c>
      <c r="AB94" t="s">
        <v>1489</v>
      </c>
      <c r="AC94" t="s">
        <v>74</v>
      </c>
      <c r="AD94" t="s">
        <v>74</v>
      </c>
      <c r="AE94" t="s">
        <v>74</v>
      </c>
      <c r="AF94" t="s">
        <v>74</v>
      </c>
      <c r="AG94" t="s">
        <v>74</v>
      </c>
      <c r="AH94" t="s">
        <v>74</v>
      </c>
      <c r="AI94" t="s">
        <v>74</v>
      </c>
      <c r="AJ94" t="s">
        <v>74</v>
      </c>
      <c r="AK94" t="s">
        <v>74</v>
      </c>
      <c r="AL94" t="s">
        <v>74</v>
      </c>
      <c r="AM94" t="s">
        <v>74</v>
      </c>
      <c r="AN94" t="s">
        <v>74</v>
      </c>
      <c r="AO94" t="s">
        <v>99</v>
      </c>
      <c r="AP94" t="s">
        <v>100</v>
      </c>
      <c r="AQ94" t="s">
        <v>74</v>
      </c>
      <c r="AR94" t="s">
        <v>74</v>
      </c>
      <c r="AS94" t="s">
        <v>74</v>
      </c>
      <c r="AT94" t="s">
        <v>219</v>
      </c>
      <c r="AU94">
        <v>2020</v>
      </c>
      <c r="AV94">
        <v>58</v>
      </c>
      <c r="AW94">
        <v>6</v>
      </c>
      <c r="AX94" t="s">
        <v>74</v>
      </c>
      <c r="AY94" t="s">
        <v>74</v>
      </c>
      <c r="AZ94" t="s">
        <v>74</v>
      </c>
      <c r="BA94" t="s">
        <v>74</v>
      </c>
      <c r="BB94">
        <v>4319</v>
      </c>
      <c r="BC94">
        <v>4334</v>
      </c>
      <c r="BD94" t="s">
        <v>74</v>
      </c>
      <c r="BE94" t="s">
        <v>1490</v>
      </c>
      <c r="BF94" t="str">
        <f>HYPERLINK("http://dx.doi.org/10.1109/TGRS.2019.2963075","http://dx.doi.org/10.1109/TGRS.2019.2963075")</f>
        <v>http://dx.doi.org/10.1109/TGRS.2019.2963075</v>
      </c>
      <c r="BG94" t="s">
        <v>74</v>
      </c>
      <c r="BH94" t="s">
        <v>74</v>
      </c>
      <c r="BI94" t="s">
        <v>74</v>
      </c>
      <c r="BJ94" t="s">
        <v>74</v>
      </c>
      <c r="BK94" t="s">
        <v>74</v>
      </c>
      <c r="BL94" t="s">
        <v>74</v>
      </c>
      <c r="BM94" t="s">
        <v>74</v>
      </c>
      <c r="BN94" t="s">
        <v>74</v>
      </c>
      <c r="BO94" t="s">
        <v>74</v>
      </c>
      <c r="BP94" t="s">
        <v>74</v>
      </c>
      <c r="BQ94" t="s">
        <v>74</v>
      </c>
      <c r="BR94" t="s">
        <v>74</v>
      </c>
      <c r="BS94" t="s">
        <v>1491</v>
      </c>
      <c r="BT94" t="str">
        <f>HYPERLINK("https%3A%2F%2Fwww.webofscience.com%2Fwos%2Fwoscc%2Ffull-record%2FWOS:000538748700042","View Full Record in Web of Science")</f>
        <v>View Full Record in Web of Science</v>
      </c>
    </row>
    <row r="95" spans="1:72" x14ac:dyDescent="0.15">
      <c r="A95" t="s">
        <v>72</v>
      </c>
      <c r="B95" t="s">
        <v>745</v>
      </c>
      <c r="C95" t="s">
        <v>74</v>
      </c>
      <c r="D95" t="s">
        <v>74</v>
      </c>
      <c r="E95" t="s">
        <v>74</v>
      </c>
      <c r="F95" t="s">
        <v>746</v>
      </c>
      <c r="G95" t="s">
        <v>74</v>
      </c>
      <c r="H95" t="s">
        <v>74</v>
      </c>
      <c r="I95" t="s">
        <v>747</v>
      </c>
      <c r="J95" t="s">
        <v>748</v>
      </c>
      <c r="K95" t="s">
        <v>74</v>
      </c>
      <c r="L95" t="s">
        <v>74</v>
      </c>
      <c r="M95" t="s">
        <v>74</v>
      </c>
      <c r="N95" t="s">
        <v>74</v>
      </c>
      <c r="O95" t="s">
        <v>74</v>
      </c>
      <c r="P95" t="s">
        <v>74</v>
      </c>
      <c r="Q95" t="s">
        <v>74</v>
      </c>
      <c r="R95" t="s">
        <v>74</v>
      </c>
      <c r="S95" t="s">
        <v>74</v>
      </c>
      <c r="T95" t="s">
        <v>74</v>
      </c>
      <c r="U95" t="s">
        <v>74</v>
      </c>
      <c r="V95" t="s">
        <v>749</v>
      </c>
      <c r="W95" t="s">
        <v>74</v>
      </c>
      <c r="X95" t="s">
        <v>74</v>
      </c>
      <c r="Y95" t="s">
        <v>74</v>
      </c>
      <c r="Z95" t="s">
        <v>74</v>
      </c>
      <c r="AA95" t="s">
        <v>750</v>
      </c>
      <c r="AB95" t="s">
        <v>74</v>
      </c>
      <c r="AC95" t="s">
        <v>74</v>
      </c>
      <c r="AD95" t="s">
        <v>74</v>
      </c>
      <c r="AE95" t="s">
        <v>74</v>
      </c>
      <c r="AF95" t="s">
        <v>74</v>
      </c>
      <c r="AG95" t="s">
        <v>74</v>
      </c>
      <c r="AH95" t="s">
        <v>74</v>
      </c>
      <c r="AI95" t="s">
        <v>74</v>
      </c>
      <c r="AJ95" t="s">
        <v>74</v>
      </c>
      <c r="AK95" t="s">
        <v>74</v>
      </c>
      <c r="AL95" t="s">
        <v>74</v>
      </c>
      <c r="AM95" t="s">
        <v>74</v>
      </c>
      <c r="AN95" t="s">
        <v>74</v>
      </c>
      <c r="AO95" t="s">
        <v>751</v>
      </c>
      <c r="AP95" t="s">
        <v>752</v>
      </c>
      <c r="AQ95" t="s">
        <v>74</v>
      </c>
      <c r="AR95" t="s">
        <v>74</v>
      </c>
      <c r="AS95" t="s">
        <v>74</v>
      </c>
      <c r="AT95" t="s">
        <v>190</v>
      </c>
      <c r="AU95">
        <v>2020</v>
      </c>
      <c r="AV95">
        <v>17</v>
      </c>
      <c r="AW95">
        <v>4</v>
      </c>
      <c r="AX95" t="s">
        <v>74</v>
      </c>
      <c r="AY95" t="s">
        <v>74</v>
      </c>
      <c r="AZ95" t="s">
        <v>74</v>
      </c>
      <c r="BA95" t="s">
        <v>74</v>
      </c>
      <c r="BB95">
        <v>884</v>
      </c>
      <c r="BC95">
        <v>897</v>
      </c>
      <c r="BD95" t="s">
        <v>74</v>
      </c>
      <c r="BE95" t="s">
        <v>753</v>
      </c>
      <c r="BF95" t="str">
        <f>HYPERLINK("http://dx.doi.org/10.1007/s11629-019-5723-1","http://dx.doi.org/10.1007/s11629-019-5723-1")</f>
        <v>http://dx.doi.org/10.1007/s11629-019-5723-1</v>
      </c>
      <c r="BG95" t="s">
        <v>74</v>
      </c>
      <c r="BH95" t="s">
        <v>74</v>
      </c>
      <c r="BI95" t="s">
        <v>74</v>
      </c>
      <c r="BJ95" t="s">
        <v>74</v>
      </c>
      <c r="BK95" t="s">
        <v>74</v>
      </c>
      <c r="BL95" t="s">
        <v>74</v>
      </c>
      <c r="BM95" t="s">
        <v>74</v>
      </c>
      <c r="BN95" t="s">
        <v>74</v>
      </c>
      <c r="BO95" t="s">
        <v>74</v>
      </c>
      <c r="BP95" t="s">
        <v>74</v>
      </c>
      <c r="BQ95" t="s">
        <v>74</v>
      </c>
      <c r="BR95" t="s">
        <v>74</v>
      </c>
      <c r="BS95" t="s">
        <v>754</v>
      </c>
      <c r="BT95" t="str">
        <f>HYPERLINK("https%3A%2F%2Fwww.webofscience.com%2Fwos%2Fwoscc%2Ffull-record%2FWOS:000525174500009","View Full Record in Web of Science")</f>
        <v>View Full Record in Web of Science</v>
      </c>
    </row>
    <row r="96" spans="1:72" x14ac:dyDescent="0.15">
      <c r="A96" t="s">
        <v>72</v>
      </c>
      <c r="B96" t="s">
        <v>1492</v>
      </c>
      <c r="C96" t="s">
        <v>74</v>
      </c>
      <c r="D96" t="s">
        <v>74</v>
      </c>
      <c r="E96" t="s">
        <v>74</v>
      </c>
      <c r="F96" t="s">
        <v>1493</v>
      </c>
      <c r="G96" t="s">
        <v>74</v>
      </c>
      <c r="H96" t="s">
        <v>74</v>
      </c>
      <c r="I96" t="s">
        <v>1494</v>
      </c>
      <c r="J96" t="s">
        <v>147</v>
      </c>
      <c r="K96" t="s">
        <v>74</v>
      </c>
      <c r="L96" t="s">
        <v>74</v>
      </c>
      <c r="M96" t="s">
        <v>74</v>
      </c>
      <c r="N96" t="s">
        <v>74</v>
      </c>
      <c r="O96" t="s">
        <v>74</v>
      </c>
      <c r="P96" t="s">
        <v>74</v>
      </c>
      <c r="Q96" t="s">
        <v>74</v>
      </c>
      <c r="R96" t="s">
        <v>74</v>
      </c>
      <c r="S96" t="s">
        <v>74</v>
      </c>
      <c r="T96" t="s">
        <v>74</v>
      </c>
      <c r="U96" t="s">
        <v>74</v>
      </c>
      <c r="V96" t="s">
        <v>1495</v>
      </c>
      <c r="W96" t="s">
        <v>74</v>
      </c>
      <c r="X96" t="s">
        <v>74</v>
      </c>
      <c r="Y96" t="s">
        <v>74</v>
      </c>
      <c r="Z96" t="s">
        <v>74</v>
      </c>
      <c r="AA96" t="s">
        <v>1496</v>
      </c>
      <c r="AB96" t="s">
        <v>1497</v>
      </c>
      <c r="AC96" t="s">
        <v>74</v>
      </c>
      <c r="AD96" t="s">
        <v>74</v>
      </c>
      <c r="AE96" t="s">
        <v>74</v>
      </c>
      <c r="AF96" t="s">
        <v>74</v>
      </c>
      <c r="AG96" t="s">
        <v>74</v>
      </c>
      <c r="AH96" t="s">
        <v>74</v>
      </c>
      <c r="AI96" t="s">
        <v>74</v>
      </c>
      <c r="AJ96" t="s">
        <v>74</v>
      </c>
      <c r="AK96" t="s">
        <v>74</v>
      </c>
      <c r="AL96" t="s">
        <v>74</v>
      </c>
      <c r="AM96" t="s">
        <v>74</v>
      </c>
      <c r="AN96" t="s">
        <v>74</v>
      </c>
      <c r="AO96" t="s">
        <v>74</v>
      </c>
      <c r="AP96" t="s">
        <v>151</v>
      </c>
      <c r="AQ96" t="s">
        <v>74</v>
      </c>
      <c r="AR96" t="s">
        <v>74</v>
      </c>
      <c r="AS96" t="s">
        <v>74</v>
      </c>
      <c r="AT96" t="s">
        <v>1208</v>
      </c>
      <c r="AU96">
        <v>2020</v>
      </c>
      <c r="AV96">
        <v>12</v>
      </c>
      <c r="AW96">
        <v>6</v>
      </c>
      <c r="AX96" t="s">
        <v>74</v>
      </c>
      <c r="AY96" t="s">
        <v>74</v>
      </c>
      <c r="AZ96" t="s">
        <v>74</v>
      </c>
      <c r="BA96" t="s">
        <v>74</v>
      </c>
      <c r="BB96" t="s">
        <v>74</v>
      </c>
      <c r="BC96" t="s">
        <v>74</v>
      </c>
      <c r="BD96">
        <v>962</v>
      </c>
      <c r="BE96" t="s">
        <v>1498</v>
      </c>
      <c r="BF96" t="str">
        <f>HYPERLINK("http://dx.doi.org/10.3390/rs12060962","http://dx.doi.org/10.3390/rs12060962")</f>
        <v>http://dx.doi.org/10.3390/rs12060962</v>
      </c>
      <c r="BG96" t="s">
        <v>74</v>
      </c>
      <c r="BH96" t="s">
        <v>74</v>
      </c>
      <c r="BI96" t="s">
        <v>74</v>
      </c>
      <c r="BJ96" t="s">
        <v>74</v>
      </c>
      <c r="BK96" t="s">
        <v>74</v>
      </c>
      <c r="BL96" t="s">
        <v>74</v>
      </c>
      <c r="BM96" t="s">
        <v>74</v>
      </c>
      <c r="BN96" t="s">
        <v>74</v>
      </c>
      <c r="BO96" t="s">
        <v>74</v>
      </c>
      <c r="BP96" t="s">
        <v>74</v>
      </c>
      <c r="BQ96" t="s">
        <v>74</v>
      </c>
      <c r="BR96" t="s">
        <v>74</v>
      </c>
      <c r="BS96" t="s">
        <v>1499</v>
      </c>
      <c r="BT96" t="str">
        <f>HYPERLINK("https%3A%2F%2Fwww.webofscience.com%2Fwos%2Fwoscc%2Ffull-record%2FWOS:000526820600064","View Full Record in Web of Science")</f>
        <v>View Full Record in Web of Science</v>
      </c>
    </row>
    <row r="97" spans="1:72" x14ac:dyDescent="0.15">
      <c r="A97" t="s">
        <v>72</v>
      </c>
      <c r="B97" t="s">
        <v>1500</v>
      </c>
      <c r="C97" t="s">
        <v>74</v>
      </c>
      <c r="D97" t="s">
        <v>74</v>
      </c>
      <c r="E97" t="s">
        <v>74</v>
      </c>
      <c r="F97" t="s">
        <v>1501</v>
      </c>
      <c r="G97" t="s">
        <v>74</v>
      </c>
      <c r="H97" t="s">
        <v>74</v>
      </c>
      <c r="I97" t="s">
        <v>1502</v>
      </c>
      <c r="J97" t="s">
        <v>1503</v>
      </c>
      <c r="K97" t="s">
        <v>74</v>
      </c>
      <c r="L97" t="s">
        <v>74</v>
      </c>
      <c r="M97" t="s">
        <v>74</v>
      </c>
      <c r="N97" t="s">
        <v>74</v>
      </c>
      <c r="O97" t="s">
        <v>74</v>
      </c>
      <c r="P97" t="s">
        <v>74</v>
      </c>
      <c r="Q97" t="s">
        <v>74</v>
      </c>
      <c r="R97" t="s">
        <v>74</v>
      </c>
      <c r="S97" t="s">
        <v>74</v>
      </c>
      <c r="T97" t="s">
        <v>74</v>
      </c>
      <c r="U97" t="s">
        <v>74</v>
      </c>
      <c r="V97" t="s">
        <v>1504</v>
      </c>
      <c r="W97" t="s">
        <v>74</v>
      </c>
      <c r="X97" t="s">
        <v>74</v>
      </c>
      <c r="Y97" t="s">
        <v>74</v>
      </c>
      <c r="Z97" t="s">
        <v>74</v>
      </c>
      <c r="AA97" t="s">
        <v>1505</v>
      </c>
      <c r="AB97" t="s">
        <v>1506</v>
      </c>
      <c r="AC97" t="s">
        <v>74</v>
      </c>
      <c r="AD97" t="s">
        <v>74</v>
      </c>
      <c r="AE97" t="s">
        <v>74</v>
      </c>
      <c r="AF97" t="s">
        <v>74</v>
      </c>
      <c r="AG97" t="s">
        <v>74</v>
      </c>
      <c r="AH97" t="s">
        <v>74</v>
      </c>
      <c r="AI97" t="s">
        <v>74</v>
      </c>
      <c r="AJ97" t="s">
        <v>74</v>
      </c>
      <c r="AK97" t="s">
        <v>74</v>
      </c>
      <c r="AL97" t="s">
        <v>74</v>
      </c>
      <c r="AM97" t="s">
        <v>74</v>
      </c>
      <c r="AN97" t="s">
        <v>74</v>
      </c>
      <c r="AO97" t="s">
        <v>1507</v>
      </c>
      <c r="AP97" t="s">
        <v>1508</v>
      </c>
      <c r="AQ97" t="s">
        <v>74</v>
      </c>
      <c r="AR97" t="s">
        <v>74</v>
      </c>
      <c r="AS97" t="s">
        <v>74</v>
      </c>
      <c r="AT97" t="s">
        <v>1208</v>
      </c>
      <c r="AU97">
        <v>2020</v>
      </c>
      <c r="AV97">
        <v>125</v>
      </c>
      <c r="AW97">
        <v>3</v>
      </c>
      <c r="AX97" t="s">
        <v>74</v>
      </c>
      <c r="AY97" t="s">
        <v>74</v>
      </c>
      <c r="AZ97" t="s">
        <v>74</v>
      </c>
      <c r="BA97" t="s">
        <v>74</v>
      </c>
      <c r="BB97" t="s">
        <v>74</v>
      </c>
      <c r="BC97" t="s">
        <v>74</v>
      </c>
      <c r="BD97" t="s">
        <v>1509</v>
      </c>
      <c r="BE97" t="s">
        <v>1510</v>
      </c>
      <c r="BF97" t="str">
        <f>HYPERLINK("http://dx.doi.org/10.1029/2019JC015465","http://dx.doi.org/10.1029/2019JC015465")</f>
        <v>http://dx.doi.org/10.1029/2019JC015465</v>
      </c>
      <c r="BG97" t="s">
        <v>74</v>
      </c>
      <c r="BH97" t="s">
        <v>74</v>
      </c>
      <c r="BI97" t="s">
        <v>74</v>
      </c>
      <c r="BJ97" t="s">
        <v>74</v>
      </c>
      <c r="BK97" t="s">
        <v>74</v>
      </c>
      <c r="BL97" t="s">
        <v>74</v>
      </c>
      <c r="BM97" t="s">
        <v>74</v>
      </c>
      <c r="BN97" t="s">
        <v>74</v>
      </c>
      <c r="BO97" t="s">
        <v>74</v>
      </c>
      <c r="BP97" t="s">
        <v>74</v>
      </c>
      <c r="BQ97" t="s">
        <v>74</v>
      </c>
      <c r="BR97" t="s">
        <v>74</v>
      </c>
      <c r="BS97" t="s">
        <v>1511</v>
      </c>
      <c r="BT97" t="str">
        <f>HYPERLINK("https%3A%2F%2Fwww.webofscience.com%2Fwos%2Fwoscc%2Ffull-record%2FWOS:000534229400023","View Full Record in Web of Science")</f>
        <v>View Full Record in Web of Science</v>
      </c>
    </row>
    <row r="98" spans="1:72" x14ac:dyDescent="0.15">
      <c r="A98" t="s">
        <v>72</v>
      </c>
      <c r="B98" t="s">
        <v>1512</v>
      </c>
      <c r="C98" t="s">
        <v>74</v>
      </c>
      <c r="D98" t="s">
        <v>74</v>
      </c>
      <c r="E98" t="s">
        <v>74</v>
      </c>
      <c r="F98" t="s">
        <v>1513</v>
      </c>
      <c r="G98" t="s">
        <v>74</v>
      </c>
      <c r="H98" t="s">
        <v>74</v>
      </c>
      <c r="I98" t="s">
        <v>1514</v>
      </c>
      <c r="J98" t="s">
        <v>1059</v>
      </c>
      <c r="K98" t="s">
        <v>74</v>
      </c>
      <c r="L98" t="s">
        <v>74</v>
      </c>
      <c r="M98" t="s">
        <v>74</v>
      </c>
      <c r="N98" t="s">
        <v>74</v>
      </c>
      <c r="O98" t="s">
        <v>74</v>
      </c>
      <c r="P98" t="s">
        <v>74</v>
      </c>
      <c r="Q98" t="s">
        <v>74</v>
      </c>
      <c r="R98" t="s">
        <v>74</v>
      </c>
      <c r="S98" t="s">
        <v>74</v>
      </c>
      <c r="T98" t="s">
        <v>74</v>
      </c>
      <c r="U98" t="s">
        <v>74</v>
      </c>
      <c r="V98" t="s">
        <v>1515</v>
      </c>
      <c r="W98" t="s">
        <v>74</v>
      </c>
      <c r="X98" t="s">
        <v>74</v>
      </c>
      <c r="Y98" t="s">
        <v>74</v>
      </c>
      <c r="Z98" t="s">
        <v>74</v>
      </c>
      <c r="AA98" t="s">
        <v>1516</v>
      </c>
      <c r="AB98" t="s">
        <v>1517</v>
      </c>
      <c r="AC98" t="s">
        <v>74</v>
      </c>
      <c r="AD98" t="s">
        <v>74</v>
      </c>
      <c r="AE98" t="s">
        <v>74</v>
      </c>
      <c r="AF98" t="s">
        <v>74</v>
      </c>
      <c r="AG98" t="s">
        <v>74</v>
      </c>
      <c r="AH98" t="s">
        <v>74</v>
      </c>
      <c r="AI98" t="s">
        <v>74</v>
      </c>
      <c r="AJ98" t="s">
        <v>74</v>
      </c>
      <c r="AK98" t="s">
        <v>74</v>
      </c>
      <c r="AL98" t="s">
        <v>74</v>
      </c>
      <c r="AM98" t="s">
        <v>74</v>
      </c>
      <c r="AN98" t="s">
        <v>74</v>
      </c>
      <c r="AO98" t="s">
        <v>1063</v>
      </c>
      <c r="AP98" t="s">
        <v>1064</v>
      </c>
      <c r="AQ98" t="s">
        <v>74</v>
      </c>
      <c r="AR98" t="s">
        <v>74</v>
      </c>
      <c r="AS98" t="s">
        <v>74</v>
      </c>
      <c r="AT98" t="s">
        <v>311</v>
      </c>
      <c r="AU98">
        <v>2020</v>
      </c>
      <c r="AV98">
        <v>56</v>
      </c>
      <c r="AW98">
        <v>2</v>
      </c>
      <c r="AX98" t="s">
        <v>74</v>
      </c>
      <c r="AY98" t="s">
        <v>74</v>
      </c>
      <c r="AZ98" t="s">
        <v>74</v>
      </c>
      <c r="BA98" t="s">
        <v>74</v>
      </c>
      <c r="BB98" t="s">
        <v>74</v>
      </c>
      <c r="BC98" t="s">
        <v>74</v>
      </c>
      <c r="BD98" t="s">
        <v>1518</v>
      </c>
      <c r="BE98" t="s">
        <v>1519</v>
      </c>
      <c r="BF98" t="str">
        <f>HYPERLINK("http://dx.doi.org/10.1029/2019WR024880","http://dx.doi.org/10.1029/2019WR024880")</f>
        <v>http://dx.doi.org/10.1029/2019WR024880</v>
      </c>
      <c r="BG98" t="s">
        <v>74</v>
      </c>
      <c r="BH98" t="s">
        <v>74</v>
      </c>
      <c r="BI98" t="s">
        <v>74</v>
      </c>
      <c r="BJ98" t="s">
        <v>74</v>
      </c>
      <c r="BK98" t="s">
        <v>74</v>
      </c>
      <c r="BL98" t="s">
        <v>74</v>
      </c>
      <c r="BM98" t="s">
        <v>74</v>
      </c>
      <c r="BN98" t="s">
        <v>74</v>
      </c>
      <c r="BO98" t="s">
        <v>74</v>
      </c>
      <c r="BP98" t="s">
        <v>74</v>
      </c>
      <c r="BQ98" t="s">
        <v>74</v>
      </c>
      <c r="BR98" t="s">
        <v>74</v>
      </c>
      <c r="BS98" t="s">
        <v>1520</v>
      </c>
      <c r="BT98" t="str">
        <f>HYPERLINK("https%3A%2F%2Fwww.webofscience.com%2Fwos%2Fwoscc%2Ffull-record%2FWOS:000535672800009","View Full Record in Web of Science")</f>
        <v>View Full Record in Web of Science</v>
      </c>
    </row>
    <row r="99" spans="1:72" x14ac:dyDescent="0.15">
      <c r="A99" t="s">
        <v>72</v>
      </c>
      <c r="B99" t="s">
        <v>755</v>
      </c>
      <c r="C99" t="s">
        <v>74</v>
      </c>
      <c r="D99" t="s">
        <v>74</v>
      </c>
      <c r="E99" t="s">
        <v>74</v>
      </c>
      <c r="F99" t="s">
        <v>756</v>
      </c>
      <c r="G99" t="s">
        <v>74</v>
      </c>
      <c r="H99" t="s">
        <v>74</v>
      </c>
      <c r="I99" t="s">
        <v>757</v>
      </c>
      <c r="J99" t="s">
        <v>758</v>
      </c>
      <c r="K99" t="s">
        <v>74</v>
      </c>
      <c r="L99" t="s">
        <v>74</v>
      </c>
      <c r="M99" t="s">
        <v>74</v>
      </c>
      <c r="N99" t="s">
        <v>74</v>
      </c>
      <c r="O99" t="s">
        <v>74</v>
      </c>
      <c r="P99" t="s">
        <v>74</v>
      </c>
      <c r="Q99" t="s">
        <v>74</v>
      </c>
      <c r="R99" t="s">
        <v>74</v>
      </c>
      <c r="S99" t="s">
        <v>74</v>
      </c>
      <c r="T99" t="s">
        <v>74</v>
      </c>
      <c r="U99" t="s">
        <v>74</v>
      </c>
      <c r="V99" t="s">
        <v>759</v>
      </c>
      <c r="W99" t="s">
        <v>74</v>
      </c>
      <c r="X99" t="s">
        <v>74</v>
      </c>
      <c r="Y99" t="s">
        <v>74</v>
      </c>
      <c r="Z99" t="s">
        <v>74</v>
      </c>
      <c r="AA99" t="s">
        <v>760</v>
      </c>
      <c r="AB99" t="s">
        <v>74</v>
      </c>
      <c r="AC99" t="s">
        <v>74</v>
      </c>
      <c r="AD99" t="s">
        <v>74</v>
      </c>
      <c r="AE99" t="s">
        <v>74</v>
      </c>
      <c r="AF99" t="s">
        <v>74</v>
      </c>
      <c r="AG99" t="s">
        <v>74</v>
      </c>
      <c r="AH99" t="s">
        <v>74</v>
      </c>
      <c r="AI99" t="s">
        <v>74</v>
      </c>
      <c r="AJ99" t="s">
        <v>74</v>
      </c>
      <c r="AK99" t="s">
        <v>74</v>
      </c>
      <c r="AL99" t="s">
        <v>74</v>
      </c>
      <c r="AM99" t="s">
        <v>74</v>
      </c>
      <c r="AN99" t="s">
        <v>74</v>
      </c>
      <c r="AO99" t="s">
        <v>761</v>
      </c>
      <c r="AP99" t="s">
        <v>762</v>
      </c>
      <c r="AQ99" t="s">
        <v>74</v>
      </c>
      <c r="AR99" t="s">
        <v>74</v>
      </c>
      <c r="AS99" t="s">
        <v>74</v>
      </c>
      <c r="AT99" t="s">
        <v>486</v>
      </c>
      <c r="AU99">
        <v>2020</v>
      </c>
      <c r="AV99">
        <v>11</v>
      </c>
      <c r="AW99">
        <v>1</v>
      </c>
      <c r="AX99" t="s">
        <v>74</v>
      </c>
      <c r="AY99" t="s">
        <v>74</v>
      </c>
      <c r="AZ99" t="s">
        <v>74</v>
      </c>
      <c r="BA99" t="s">
        <v>74</v>
      </c>
      <c r="BB99">
        <v>66</v>
      </c>
      <c r="BC99">
        <v>75</v>
      </c>
      <c r="BD99" t="s">
        <v>74</v>
      </c>
      <c r="BE99" t="s">
        <v>763</v>
      </c>
      <c r="BF99" t="str">
        <f>HYPERLINK("http://dx.doi.org/10.1080/2150704X.2019.1686548","http://dx.doi.org/10.1080/2150704X.2019.1686548")</f>
        <v>http://dx.doi.org/10.1080/2150704X.2019.1686548</v>
      </c>
      <c r="BG99" t="s">
        <v>74</v>
      </c>
      <c r="BH99" t="s">
        <v>74</v>
      </c>
      <c r="BI99" t="s">
        <v>74</v>
      </c>
      <c r="BJ99" t="s">
        <v>74</v>
      </c>
      <c r="BK99" t="s">
        <v>74</v>
      </c>
      <c r="BL99" t="s">
        <v>74</v>
      </c>
      <c r="BM99" t="s">
        <v>74</v>
      </c>
      <c r="BN99" t="s">
        <v>74</v>
      </c>
      <c r="BO99" t="s">
        <v>74</v>
      </c>
      <c r="BP99" t="s">
        <v>74</v>
      </c>
      <c r="BQ99" t="s">
        <v>74</v>
      </c>
      <c r="BR99" t="s">
        <v>74</v>
      </c>
      <c r="BS99" t="s">
        <v>764</v>
      </c>
      <c r="BT99" t="str">
        <f>HYPERLINK("https%3A%2F%2Fwww.webofscience.com%2Fwos%2Fwoscc%2Ffull-record%2FWOS:000493463300001","View Full Record in Web of Science")</f>
        <v>View Full Record in Web of Science</v>
      </c>
    </row>
    <row r="100" spans="1:72" x14ac:dyDescent="0.15">
      <c r="A100" t="s">
        <v>72</v>
      </c>
      <c r="B100" t="s">
        <v>1521</v>
      </c>
      <c r="C100" t="s">
        <v>74</v>
      </c>
      <c r="D100" t="s">
        <v>74</v>
      </c>
      <c r="E100" t="s">
        <v>74</v>
      </c>
      <c r="F100" t="s">
        <v>1522</v>
      </c>
      <c r="G100" t="s">
        <v>74</v>
      </c>
      <c r="H100" t="s">
        <v>74</v>
      </c>
      <c r="I100" t="s">
        <v>1523</v>
      </c>
      <c r="J100" t="s">
        <v>244</v>
      </c>
      <c r="K100" t="s">
        <v>74</v>
      </c>
      <c r="L100" t="s">
        <v>74</v>
      </c>
      <c r="M100" t="s">
        <v>74</v>
      </c>
      <c r="N100" t="s">
        <v>74</v>
      </c>
      <c r="O100" t="s">
        <v>74</v>
      </c>
      <c r="P100" t="s">
        <v>74</v>
      </c>
      <c r="Q100" t="s">
        <v>74</v>
      </c>
      <c r="R100" t="s">
        <v>74</v>
      </c>
      <c r="S100" t="s">
        <v>74</v>
      </c>
      <c r="T100" t="s">
        <v>74</v>
      </c>
      <c r="U100" t="s">
        <v>74</v>
      </c>
      <c r="V100" t="s">
        <v>1524</v>
      </c>
      <c r="W100" t="s">
        <v>74</v>
      </c>
      <c r="X100" t="s">
        <v>74</v>
      </c>
      <c r="Y100" t="s">
        <v>74</v>
      </c>
      <c r="Z100" t="s">
        <v>74</v>
      </c>
      <c r="AA100" t="s">
        <v>1525</v>
      </c>
      <c r="AB100" t="s">
        <v>1526</v>
      </c>
      <c r="AC100" t="s">
        <v>74</v>
      </c>
      <c r="AD100" t="s">
        <v>74</v>
      </c>
      <c r="AE100" t="s">
        <v>74</v>
      </c>
      <c r="AF100" t="s">
        <v>74</v>
      </c>
      <c r="AG100" t="s">
        <v>74</v>
      </c>
      <c r="AH100" t="s">
        <v>74</v>
      </c>
      <c r="AI100" t="s">
        <v>74</v>
      </c>
      <c r="AJ100" t="s">
        <v>74</v>
      </c>
      <c r="AK100" t="s">
        <v>74</v>
      </c>
      <c r="AL100" t="s">
        <v>74</v>
      </c>
      <c r="AM100" t="s">
        <v>74</v>
      </c>
      <c r="AN100" t="s">
        <v>74</v>
      </c>
      <c r="AO100" t="s">
        <v>248</v>
      </c>
      <c r="AP100" t="s">
        <v>249</v>
      </c>
      <c r="AQ100" t="s">
        <v>74</v>
      </c>
      <c r="AR100" t="s">
        <v>74</v>
      </c>
      <c r="AS100" t="s">
        <v>74</v>
      </c>
      <c r="AT100" t="s">
        <v>74</v>
      </c>
      <c r="AU100">
        <v>2020</v>
      </c>
      <c r="AV100">
        <v>13</v>
      </c>
      <c r="AW100" t="s">
        <v>74</v>
      </c>
      <c r="AX100" t="s">
        <v>74</v>
      </c>
      <c r="AY100" t="s">
        <v>74</v>
      </c>
      <c r="AZ100" t="s">
        <v>74</v>
      </c>
      <c r="BA100" t="s">
        <v>74</v>
      </c>
      <c r="BB100">
        <v>752</v>
      </c>
      <c r="BC100">
        <v>768</v>
      </c>
      <c r="BD100" t="s">
        <v>74</v>
      </c>
      <c r="BE100" t="s">
        <v>1527</v>
      </c>
      <c r="BF100" t="str">
        <f>HYPERLINK("http://dx.doi.org/10.1109/JSTARS.2020.2970738","http://dx.doi.org/10.1109/JSTARS.2020.2970738")</f>
        <v>http://dx.doi.org/10.1109/JSTARS.2020.2970738</v>
      </c>
      <c r="BG100" t="s">
        <v>74</v>
      </c>
      <c r="BH100" t="s">
        <v>74</v>
      </c>
      <c r="BI100" t="s">
        <v>74</v>
      </c>
      <c r="BJ100" t="s">
        <v>74</v>
      </c>
      <c r="BK100" t="s">
        <v>74</v>
      </c>
      <c r="BL100" t="s">
        <v>74</v>
      </c>
      <c r="BM100" t="s">
        <v>74</v>
      </c>
      <c r="BN100" t="s">
        <v>74</v>
      </c>
      <c r="BO100" t="s">
        <v>74</v>
      </c>
      <c r="BP100" t="s">
        <v>74</v>
      </c>
      <c r="BQ100" t="s">
        <v>74</v>
      </c>
      <c r="BR100" t="s">
        <v>74</v>
      </c>
      <c r="BS100" t="s">
        <v>1528</v>
      </c>
      <c r="BT100" t="str">
        <f>HYPERLINK("https%3A%2F%2Fwww.webofscience.com%2Fwos%2Fwoscc%2Ffull-record%2FWOS:000526773100009","View Full Record in Web of Science")</f>
        <v>View Full Record in Web of Science</v>
      </c>
    </row>
    <row r="101" spans="1:72" x14ac:dyDescent="0.15">
      <c r="A101" t="s">
        <v>72</v>
      </c>
      <c r="B101" t="s">
        <v>1529</v>
      </c>
      <c r="C101" t="s">
        <v>74</v>
      </c>
      <c r="D101" t="s">
        <v>74</v>
      </c>
      <c r="E101" t="s">
        <v>74</v>
      </c>
      <c r="F101" t="s">
        <v>1530</v>
      </c>
      <c r="G101" t="s">
        <v>74</v>
      </c>
      <c r="H101" t="s">
        <v>74</v>
      </c>
      <c r="I101" t="s">
        <v>1531</v>
      </c>
      <c r="J101" t="s">
        <v>77</v>
      </c>
      <c r="K101" t="s">
        <v>74</v>
      </c>
      <c r="L101" t="s">
        <v>74</v>
      </c>
      <c r="M101" t="s">
        <v>74</v>
      </c>
      <c r="N101" t="s">
        <v>74</v>
      </c>
      <c r="O101" t="s">
        <v>74</v>
      </c>
      <c r="P101" t="s">
        <v>74</v>
      </c>
      <c r="Q101" t="s">
        <v>74</v>
      </c>
      <c r="R101" t="s">
        <v>74</v>
      </c>
      <c r="S101" t="s">
        <v>74</v>
      </c>
      <c r="T101" t="s">
        <v>74</v>
      </c>
      <c r="U101" t="s">
        <v>74</v>
      </c>
      <c r="V101" t="s">
        <v>1532</v>
      </c>
      <c r="W101" t="s">
        <v>74</v>
      </c>
      <c r="X101" t="s">
        <v>74</v>
      </c>
      <c r="Y101" t="s">
        <v>74</v>
      </c>
      <c r="Z101" t="s">
        <v>74</v>
      </c>
      <c r="AA101" t="s">
        <v>1533</v>
      </c>
      <c r="AB101" t="s">
        <v>74</v>
      </c>
      <c r="AC101" t="s">
        <v>74</v>
      </c>
      <c r="AD101" t="s">
        <v>74</v>
      </c>
      <c r="AE101" t="s">
        <v>74</v>
      </c>
      <c r="AF101" t="s">
        <v>74</v>
      </c>
      <c r="AG101" t="s">
        <v>74</v>
      </c>
      <c r="AH101" t="s">
        <v>74</v>
      </c>
      <c r="AI101" t="s">
        <v>74</v>
      </c>
      <c r="AJ101" t="s">
        <v>74</v>
      </c>
      <c r="AK101" t="s">
        <v>74</v>
      </c>
      <c r="AL101" t="s">
        <v>74</v>
      </c>
      <c r="AM101" t="s">
        <v>74</v>
      </c>
      <c r="AN101" t="s">
        <v>74</v>
      </c>
      <c r="AO101" t="s">
        <v>79</v>
      </c>
      <c r="AP101" t="s">
        <v>80</v>
      </c>
      <c r="AQ101" t="s">
        <v>74</v>
      </c>
      <c r="AR101" t="s">
        <v>74</v>
      </c>
      <c r="AS101" t="s">
        <v>74</v>
      </c>
      <c r="AT101" t="s">
        <v>1534</v>
      </c>
      <c r="AU101">
        <v>2019</v>
      </c>
      <c r="AV101">
        <v>13</v>
      </c>
      <c r="AW101">
        <v>9</v>
      </c>
      <c r="AX101" t="s">
        <v>74</v>
      </c>
      <c r="AY101" t="s">
        <v>74</v>
      </c>
      <c r="AZ101" t="s">
        <v>74</v>
      </c>
      <c r="BA101" t="s">
        <v>74</v>
      </c>
      <c r="BB101">
        <v>2421</v>
      </c>
      <c r="BC101">
        <v>2438</v>
      </c>
      <c r="BD101" t="s">
        <v>74</v>
      </c>
      <c r="BE101" t="s">
        <v>1535</v>
      </c>
      <c r="BF101" t="str">
        <f>HYPERLINK("http://dx.doi.org/10.5194/tc-13-2421-2019","http://dx.doi.org/10.5194/tc-13-2421-2019")</f>
        <v>http://dx.doi.org/10.5194/tc-13-2421-2019</v>
      </c>
      <c r="BG101" t="s">
        <v>74</v>
      </c>
      <c r="BH101" t="s">
        <v>74</v>
      </c>
      <c r="BI101" t="s">
        <v>74</v>
      </c>
      <c r="BJ101" t="s">
        <v>74</v>
      </c>
      <c r="BK101" t="s">
        <v>74</v>
      </c>
      <c r="BL101" t="s">
        <v>74</v>
      </c>
      <c r="BM101" t="s">
        <v>74</v>
      </c>
      <c r="BN101" t="s">
        <v>74</v>
      </c>
      <c r="BO101" t="s">
        <v>74</v>
      </c>
      <c r="BP101" t="s">
        <v>74</v>
      </c>
      <c r="BQ101" t="s">
        <v>74</v>
      </c>
      <c r="BR101" t="s">
        <v>74</v>
      </c>
      <c r="BS101" t="s">
        <v>1536</v>
      </c>
      <c r="BT101" t="str">
        <f>HYPERLINK("https%3A%2F%2Fwww.webofscience.com%2Fwos%2Fwoscc%2Ffull-record%2FWOS:000487710700002","View Full Record in Web of Science")</f>
        <v>View Full Record in Web of Science</v>
      </c>
    </row>
    <row r="102" spans="1:72" x14ac:dyDescent="0.15">
      <c r="A102" t="s">
        <v>72</v>
      </c>
      <c r="B102" t="s">
        <v>1537</v>
      </c>
      <c r="C102" t="s">
        <v>74</v>
      </c>
      <c r="D102" t="s">
        <v>74</v>
      </c>
      <c r="E102" t="s">
        <v>74</v>
      </c>
      <c r="F102" t="s">
        <v>1538</v>
      </c>
      <c r="G102" t="s">
        <v>74</v>
      </c>
      <c r="H102" t="s">
        <v>74</v>
      </c>
      <c r="I102" t="s">
        <v>1539</v>
      </c>
      <c r="J102" t="s">
        <v>1540</v>
      </c>
      <c r="K102" t="s">
        <v>74</v>
      </c>
      <c r="L102" t="s">
        <v>74</v>
      </c>
      <c r="M102" t="s">
        <v>74</v>
      </c>
      <c r="N102" t="s">
        <v>74</v>
      </c>
      <c r="O102" t="s">
        <v>74</v>
      </c>
      <c r="P102" t="s">
        <v>74</v>
      </c>
      <c r="Q102" t="s">
        <v>74</v>
      </c>
      <c r="R102" t="s">
        <v>74</v>
      </c>
      <c r="S102" t="s">
        <v>74</v>
      </c>
      <c r="T102" t="s">
        <v>74</v>
      </c>
      <c r="U102" t="s">
        <v>74</v>
      </c>
      <c r="V102" t="s">
        <v>1541</v>
      </c>
      <c r="W102" t="s">
        <v>74</v>
      </c>
      <c r="X102" t="s">
        <v>74</v>
      </c>
      <c r="Y102" t="s">
        <v>74</v>
      </c>
      <c r="Z102" t="s">
        <v>74</v>
      </c>
      <c r="AA102" t="s">
        <v>74</v>
      </c>
      <c r="AB102" t="s">
        <v>994</v>
      </c>
      <c r="AC102" t="s">
        <v>74</v>
      </c>
      <c r="AD102" t="s">
        <v>74</v>
      </c>
      <c r="AE102" t="s">
        <v>74</v>
      </c>
      <c r="AF102" t="s">
        <v>74</v>
      </c>
      <c r="AG102" t="s">
        <v>74</v>
      </c>
      <c r="AH102" t="s">
        <v>74</v>
      </c>
      <c r="AI102" t="s">
        <v>74</v>
      </c>
      <c r="AJ102" t="s">
        <v>74</v>
      </c>
      <c r="AK102" t="s">
        <v>74</v>
      </c>
      <c r="AL102" t="s">
        <v>74</v>
      </c>
      <c r="AM102" t="s">
        <v>74</v>
      </c>
      <c r="AN102" t="s">
        <v>74</v>
      </c>
      <c r="AO102" t="s">
        <v>1542</v>
      </c>
      <c r="AP102" t="s">
        <v>1543</v>
      </c>
      <c r="AQ102" t="s">
        <v>74</v>
      </c>
      <c r="AR102" t="s">
        <v>74</v>
      </c>
      <c r="AS102" t="s">
        <v>74</v>
      </c>
      <c r="AT102" t="s">
        <v>1544</v>
      </c>
      <c r="AU102">
        <v>2020</v>
      </c>
      <c r="AV102">
        <v>41</v>
      </c>
      <c r="AW102">
        <v>3</v>
      </c>
      <c r="AX102" t="s">
        <v>74</v>
      </c>
      <c r="AY102" t="s">
        <v>74</v>
      </c>
      <c r="AZ102" t="s">
        <v>74</v>
      </c>
      <c r="BA102" t="s">
        <v>74</v>
      </c>
      <c r="BB102">
        <v>996</v>
      </c>
      <c r="BC102">
        <v>1018</v>
      </c>
      <c r="BD102" t="s">
        <v>74</v>
      </c>
      <c r="BE102" t="s">
        <v>1545</v>
      </c>
      <c r="BF102" t="str">
        <f>HYPERLINK("http://dx.doi.org/10.1080/01431161.2019.1654144","http://dx.doi.org/10.1080/01431161.2019.1654144")</f>
        <v>http://dx.doi.org/10.1080/01431161.2019.1654144</v>
      </c>
      <c r="BG102" t="s">
        <v>74</v>
      </c>
      <c r="BH102" t="s">
        <v>1546</v>
      </c>
      <c r="BI102" t="s">
        <v>74</v>
      </c>
      <c r="BJ102" t="s">
        <v>74</v>
      </c>
      <c r="BK102" t="s">
        <v>74</v>
      </c>
      <c r="BL102" t="s">
        <v>74</v>
      </c>
      <c r="BM102" t="s">
        <v>74</v>
      </c>
      <c r="BN102" t="s">
        <v>74</v>
      </c>
      <c r="BO102" t="s">
        <v>74</v>
      </c>
      <c r="BP102" t="s">
        <v>74</v>
      </c>
      <c r="BQ102" t="s">
        <v>74</v>
      </c>
      <c r="BR102" t="s">
        <v>74</v>
      </c>
      <c r="BS102" t="s">
        <v>1547</v>
      </c>
      <c r="BT102" t="str">
        <f>HYPERLINK("https%3A%2F%2Fwww.webofscience.com%2Fwos%2Fwoscc%2Ffull-record%2FWOS:000485461600001","View Full Record in Web of Science")</f>
        <v>View Full Record in Web of Science</v>
      </c>
    </row>
    <row r="103" spans="1:72" x14ac:dyDescent="0.15">
      <c r="A103" t="s">
        <v>72</v>
      </c>
      <c r="B103" t="s">
        <v>1548</v>
      </c>
      <c r="C103" t="s">
        <v>74</v>
      </c>
      <c r="D103" t="s">
        <v>74</v>
      </c>
      <c r="E103" t="s">
        <v>74</v>
      </c>
      <c r="F103" t="s">
        <v>1549</v>
      </c>
      <c r="G103" t="s">
        <v>74</v>
      </c>
      <c r="H103" t="s">
        <v>74</v>
      </c>
      <c r="I103" t="s">
        <v>1550</v>
      </c>
      <c r="J103" t="s">
        <v>244</v>
      </c>
      <c r="K103" t="s">
        <v>74</v>
      </c>
      <c r="L103" t="s">
        <v>74</v>
      </c>
      <c r="M103" t="s">
        <v>74</v>
      </c>
      <c r="N103" t="s">
        <v>74</v>
      </c>
      <c r="O103" t="s">
        <v>74</v>
      </c>
      <c r="P103" t="s">
        <v>74</v>
      </c>
      <c r="Q103" t="s">
        <v>74</v>
      </c>
      <c r="R103" t="s">
        <v>74</v>
      </c>
      <c r="S103" t="s">
        <v>74</v>
      </c>
      <c r="T103" t="s">
        <v>74</v>
      </c>
      <c r="U103" t="s">
        <v>74</v>
      </c>
      <c r="V103" t="s">
        <v>1551</v>
      </c>
      <c r="W103" t="s">
        <v>74</v>
      </c>
      <c r="X103" t="s">
        <v>74</v>
      </c>
      <c r="Y103" t="s">
        <v>74</v>
      </c>
      <c r="Z103" t="s">
        <v>74</v>
      </c>
      <c r="AA103" t="s">
        <v>1552</v>
      </c>
      <c r="AB103" t="s">
        <v>1553</v>
      </c>
      <c r="AC103" t="s">
        <v>74</v>
      </c>
      <c r="AD103" t="s">
        <v>74</v>
      </c>
      <c r="AE103" t="s">
        <v>74</v>
      </c>
      <c r="AF103" t="s">
        <v>74</v>
      </c>
      <c r="AG103" t="s">
        <v>74</v>
      </c>
      <c r="AH103" t="s">
        <v>74</v>
      </c>
      <c r="AI103" t="s">
        <v>74</v>
      </c>
      <c r="AJ103" t="s">
        <v>74</v>
      </c>
      <c r="AK103" t="s">
        <v>74</v>
      </c>
      <c r="AL103" t="s">
        <v>74</v>
      </c>
      <c r="AM103" t="s">
        <v>74</v>
      </c>
      <c r="AN103" t="s">
        <v>74</v>
      </c>
      <c r="AO103" t="s">
        <v>248</v>
      </c>
      <c r="AP103" t="s">
        <v>249</v>
      </c>
      <c r="AQ103" t="s">
        <v>74</v>
      </c>
      <c r="AR103" t="s">
        <v>74</v>
      </c>
      <c r="AS103" t="s">
        <v>74</v>
      </c>
      <c r="AT103" t="s">
        <v>666</v>
      </c>
      <c r="AU103">
        <v>2019</v>
      </c>
      <c r="AV103">
        <v>12</v>
      </c>
      <c r="AW103">
        <v>8</v>
      </c>
      <c r="AX103" t="s">
        <v>74</v>
      </c>
      <c r="AY103" t="s">
        <v>74</v>
      </c>
      <c r="AZ103" t="s">
        <v>1554</v>
      </c>
      <c r="BA103" t="s">
        <v>74</v>
      </c>
      <c r="BB103">
        <v>2873</v>
      </c>
      <c r="BC103">
        <v>2888</v>
      </c>
      <c r="BD103" t="s">
        <v>74</v>
      </c>
      <c r="BE103" t="s">
        <v>1555</v>
      </c>
      <c r="BF103" t="str">
        <f>HYPERLINK("http://dx.doi.org/10.1109/JSTARS.2019.2920676","http://dx.doi.org/10.1109/JSTARS.2019.2920676")</f>
        <v>http://dx.doi.org/10.1109/JSTARS.2019.2920676</v>
      </c>
      <c r="BG103" t="s">
        <v>74</v>
      </c>
      <c r="BH103" t="s">
        <v>74</v>
      </c>
      <c r="BI103" t="s">
        <v>74</v>
      </c>
      <c r="BJ103" t="s">
        <v>74</v>
      </c>
      <c r="BK103" t="s">
        <v>74</v>
      </c>
      <c r="BL103" t="s">
        <v>74</v>
      </c>
      <c r="BM103" t="s">
        <v>74</v>
      </c>
      <c r="BN103" t="s">
        <v>74</v>
      </c>
      <c r="BO103" t="s">
        <v>74</v>
      </c>
      <c r="BP103" t="s">
        <v>74</v>
      </c>
      <c r="BQ103" t="s">
        <v>74</v>
      </c>
      <c r="BR103" t="s">
        <v>74</v>
      </c>
      <c r="BS103" t="s">
        <v>1556</v>
      </c>
      <c r="BT103" t="str">
        <f>HYPERLINK("https%3A%2F%2Fwww.webofscience.com%2Fwos%2Fwoscc%2Ffull-record%2FWOS:000487530100024","View Full Record in Web of Science")</f>
        <v>View Full Record in Web of Science</v>
      </c>
    </row>
    <row r="104" spans="1:72" x14ac:dyDescent="0.15">
      <c r="A104" t="s">
        <v>72</v>
      </c>
      <c r="B104" t="s">
        <v>1557</v>
      </c>
      <c r="C104" t="s">
        <v>74</v>
      </c>
      <c r="D104" t="s">
        <v>74</v>
      </c>
      <c r="E104" t="s">
        <v>74</v>
      </c>
      <c r="F104" t="s">
        <v>1558</v>
      </c>
      <c r="G104" t="s">
        <v>74</v>
      </c>
      <c r="H104" t="s">
        <v>74</v>
      </c>
      <c r="I104" t="s">
        <v>1559</v>
      </c>
      <c r="J104" t="s">
        <v>1560</v>
      </c>
      <c r="K104" t="s">
        <v>74</v>
      </c>
      <c r="L104" t="s">
        <v>74</v>
      </c>
      <c r="M104" t="s">
        <v>74</v>
      </c>
      <c r="N104" t="s">
        <v>74</v>
      </c>
      <c r="O104" t="s">
        <v>74</v>
      </c>
      <c r="P104" t="s">
        <v>74</v>
      </c>
      <c r="Q104" t="s">
        <v>74</v>
      </c>
      <c r="R104" t="s">
        <v>74</v>
      </c>
      <c r="S104" t="s">
        <v>74</v>
      </c>
      <c r="T104" t="s">
        <v>74</v>
      </c>
      <c r="U104" t="s">
        <v>74</v>
      </c>
      <c r="V104" t="s">
        <v>1561</v>
      </c>
      <c r="W104" t="s">
        <v>74</v>
      </c>
      <c r="X104" t="s">
        <v>74</v>
      </c>
      <c r="Y104" t="s">
        <v>74</v>
      </c>
      <c r="Z104" t="s">
        <v>74</v>
      </c>
      <c r="AA104" t="s">
        <v>1562</v>
      </c>
      <c r="AB104" t="s">
        <v>1563</v>
      </c>
      <c r="AC104" t="s">
        <v>74</v>
      </c>
      <c r="AD104" t="s">
        <v>74</v>
      </c>
      <c r="AE104" t="s">
        <v>74</v>
      </c>
      <c r="AF104" t="s">
        <v>74</v>
      </c>
      <c r="AG104" t="s">
        <v>74</v>
      </c>
      <c r="AH104" t="s">
        <v>74</v>
      </c>
      <c r="AI104" t="s">
        <v>74</v>
      </c>
      <c r="AJ104" t="s">
        <v>74</v>
      </c>
      <c r="AK104" t="s">
        <v>74</v>
      </c>
      <c r="AL104" t="s">
        <v>74</v>
      </c>
      <c r="AM104" t="s">
        <v>74</v>
      </c>
      <c r="AN104" t="s">
        <v>74</v>
      </c>
      <c r="AO104" t="s">
        <v>1564</v>
      </c>
      <c r="AP104" t="s">
        <v>1565</v>
      </c>
      <c r="AQ104" t="s">
        <v>74</v>
      </c>
      <c r="AR104" t="s">
        <v>74</v>
      </c>
      <c r="AS104" t="s">
        <v>74</v>
      </c>
      <c r="AT104" t="s">
        <v>163</v>
      </c>
      <c r="AU104">
        <v>2019</v>
      </c>
      <c r="AV104">
        <v>32</v>
      </c>
      <c r="AW104">
        <v>4</v>
      </c>
      <c r="AX104" t="s">
        <v>74</v>
      </c>
      <c r="AY104" t="s">
        <v>74</v>
      </c>
      <c r="AZ104" t="s">
        <v>74</v>
      </c>
      <c r="BA104" t="s">
        <v>74</v>
      </c>
      <c r="BB104" t="s">
        <v>74</v>
      </c>
      <c r="BC104" t="s">
        <v>74</v>
      </c>
      <c r="BD104" t="s">
        <v>1566</v>
      </c>
      <c r="BE104" t="s">
        <v>1567</v>
      </c>
      <c r="BF104" t="str">
        <f>HYPERLINK("http://dx.doi.org/10.1111/nrm.12229","http://dx.doi.org/10.1111/nrm.12229")</f>
        <v>http://dx.doi.org/10.1111/nrm.12229</v>
      </c>
      <c r="BG104" t="s">
        <v>74</v>
      </c>
      <c r="BH104" t="s">
        <v>1568</v>
      </c>
      <c r="BI104" t="s">
        <v>74</v>
      </c>
      <c r="BJ104" t="s">
        <v>74</v>
      </c>
      <c r="BK104" t="s">
        <v>74</v>
      </c>
      <c r="BL104" t="s">
        <v>74</v>
      </c>
      <c r="BM104" t="s">
        <v>74</v>
      </c>
      <c r="BN104" t="s">
        <v>74</v>
      </c>
      <c r="BO104" t="s">
        <v>74</v>
      </c>
      <c r="BP104" t="s">
        <v>74</v>
      </c>
      <c r="BQ104" t="s">
        <v>74</v>
      </c>
      <c r="BR104" t="s">
        <v>74</v>
      </c>
      <c r="BS104" t="s">
        <v>1569</v>
      </c>
      <c r="BT104" t="str">
        <f>HYPERLINK("https%3A%2F%2Fwww.webofscience.com%2Fwos%2Fwoscc%2Ffull-record%2FWOS:000477448100001","View Full Record in Web of Science")</f>
        <v>View Full Record in Web of Science</v>
      </c>
    </row>
    <row r="105" spans="1:72" x14ac:dyDescent="0.15">
      <c r="A105" t="s">
        <v>72</v>
      </c>
      <c r="B105" t="s">
        <v>1570</v>
      </c>
      <c r="C105" t="s">
        <v>74</v>
      </c>
      <c r="D105" t="s">
        <v>74</v>
      </c>
      <c r="E105" t="s">
        <v>74</v>
      </c>
      <c r="F105" t="s">
        <v>1571</v>
      </c>
      <c r="G105" t="s">
        <v>74</v>
      </c>
      <c r="H105" t="s">
        <v>74</v>
      </c>
      <c r="I105" t="s">
        <v>1572</v>
      </c>
      <c r="J105" t="s">
        <v>1059</v>
      </c>
      <c r="K105" t="s">
        <v>74</v>
      </c>
      <c r="L105" t="s">
        <v>74</v>
      </c>
      <c r="M105" t="s">
        <v>74</v>
      </c>
      <c r="N105" t="s">
        <v>74</v>
      </c>
      <c r="O105" t="s">
        <v>74</v>
      </c>
      <c r="P105" t="s">
        <v>74</v>
      </c>
      <c r="Q105" t="s">
        <v>74</v>
      </c>
      <c r="R105" t="s">
        <v>74</v>
      </c>
      <c r="S105" t="s">
        <v>74</v>
      </c>
      <c r="T105" t="s">
        <v>74</v>
      </c>
      <c r="U105" t="s">
        <v>74</v>
      </c>
      <c r="V105" t="s">
        <v>1573</v>
      </c>
      <c r="W105" t="s">
        <v>74</v>
      </c>
      <c r="X105" t="s">
        <v>74</v>
      </c>
      <c r="Y105" t="s">
        <v>74</v>
      </c>
      <c r="Z105" t="s">
        <v>74</v>
      </c>
      <c r="AA105" t="s">
        <v>1574</v>
      </c>
      <c r="AB105" t="s">
        <v>1575</v>
      </c>
      <c r="AC105" t="s">
        <v>74</v>
      </c>
      <c r="AD105" t="s">
        <v>74</v>
      </c>
      <c r="AE105" t="s">
        <v>74</v>
      </c>
      <c r="AF105" t="s">
        <v>74</v>
      </c>
      <c r="AG105" t="s">
        <v>74</v>
      </c>
      <c r="AH105" t="s">
        <v>74</v>
      </c>
      <c r="AI105" t="s">
        <v>74</v>
      </c>
      <c r="AJ105" t="s">
        <v>74</v>
      </c>
      <c r="AK105" t="s">
        <v>74</v>
      </c>
      <c r="AL105" t="s">
        <v>74</v>
      </c>
      <c r="AM105" t="s">
        <v>74</v>
      </c>
      <c r="AN105" t="s">
        <v>74</v>
      </c>
      <c r="AO105" t="s">
        <v>1063</v>
      </c>
      <c r="AP105" t="s">
        <v>1064</v>
      </c>
      <c r="AQ105" t="s">
        <v>74</v>
      </c>
      <c r="AR105" t="s">
        <v>74</v>
      </c>
      <c r="AS105" t="s">
        <v>74</v>
      </c>
      <c r="AT105" t="s">
        <v>199</v>
      </c>
      <c r="AU105">
        <v>2019</v>
      </c>
      <c r="AV105">
        <v>55</v>
      </c>
      <c r="AW105">
        <v>5</v>
      </c>
      <c r="AX105" t="s">
        <v>74</v>
      </c>
      <c r="AY105" t="s">
        <v>74</v>
      </c>
      <c r="AZ105" t="s">
        <v>74</v>
      </c>
      <c r="BA105" t="s">
        <v>74</v>
      </c>
      <c r="BB105">
        <v>3739</v>
      </c>
      <c r="BC105">
        <v>3757</v>
      </c>
      <c r="BD105" t="s">
        <v>74</v>
      </c>
      <c r="BE105" t="s">
        <v>1576</v>
      </c>
      <c r="BF105" t="str">
        <f>HYPERLINK("http://dx.doi.org/10.1029/2018WR024146","http://dx.doi.org/10.1029/2018WR024146")</f>
        <v>http://dx.doi.org/10.1029/2018WR024146</v>
      </c>
      <c r="BG105" t="s">
        <v>74</v>
      </c>
      <c r="BH105" t="s">
        <v>74</v>
      </c>
      <c r="BI105" t="s">
        <v>74</v>
      </c>
      <c r="BJ105" t="s">
        <v>74</v>
      </c>
      <c r="BK105" t="s">
        <v>74</v>
      </c>
      <c r="BL105" t="s">
        <v>74</v>
      </c>
      <c r="BM105" t="s">
        <v>74</v>
      </c>
      <c r="BN105" t="s">
        <v>74</v>
      </c>
      <c r="BO105" t="s">
        <v>74</v>
      </c>
      <c r="BP105" t="s">
        <v>74</v>
      </c>
      <c r="BQ105" t="s">
        <v>74</v>
      </c>
      <c r="BR105" t="s">
        <v>74</v>
      </c>
      <c r="BS105" t="s">
        <v>1577</v>
      </c>
      <c r="BT105" t="str">
        <f>HYPERLINK("https%3A%2F%2Fwww.webofscience.com%2Fwos%2Fwoscc%2Ffull-record%2FWOS:000474848500008","View Full Record in Web of Science")</f>
        <v>View Full Record in Web of Science</v>
      </c>
    </row>
    <row r="106" spans="1:72" x14ac:dyDescent="0.15">
      <c r="A106" t="s">
        <v>72</v>
      </c>
      <c r="B106" t="s">
        <v>1578</v>
      </c>
      <c r="C106" t="s">
        <v>74</v>
      </c>
      <c r="D106" t="s">
        <v>74</v>
      </c>
      <c r="E106" t="s">
        <v>74</v>
      </c>
      <c r="F106" t="s">
        <v>1579</v>
      </c>
      <c r="G106" t="s">
        <v>74</v>
      </c>
      <c r="H106" t="s">
        <v>74</v>
      </c>
      <c r="I106" t="s">
        <v>1580</v>
      </c>
      <c r="J106" t="s">
        <v>1540</v>
      </c>
      <c r="K106" t="s">
        <v>74</v>
      </c>
      <c r="L106" t="s">
        <v>74</v>
      </c>
      <c r="M106" t="s">
        <v>74</v>
      </c>
      <c r="N106" t="s">
        <v>74</v>
      </c>
      <c r="O106" t="s">
        <v>74</v>
      </c>
      <c r="P106" t="s">
        <v>74</v>
      </c>
      <c r="Q106" t="s">
        <v>74</v>
      </c>
      <c r="R106" t="s">
        <v>74</v>
      </c>
      <c r="S106" t="s">
        <v>74</v>
      </c>
      <c r="T106" t="s">
        <v>74</v>
      </c>
      <c r="U106" t="s">
        <v>74</v>
      </c>
      <c r="V106" t="s">
        <v>1581</v>
      </c>
      <c r="W106" t="s">
        <v>74</v>
      </c>
      <c r="X106" t="s">
        <v>74</v>
      </c>
      <c r="Y106" t="s">
        <v>74</v>
      </c>
      <c r="Z106" t="s">
        <v>74</v>
      </c>
      <c r="AA106" t="s">
        <v>74</v>
      </c>
      <c r="AB106" t="s">
        <v>74</v>
      </c>
      <c r="AC106" t="s">
        <v>74</v>
      </c>
      <c r="AD106" t="s">
        <v>74</v>
      </c>
      <c r="AE106" t="s">
        <v>74</v>
      </c>
      <c r="AF106" t="s">
        <v>74</v>
      </c>
      <c r="AG106" t="s">
        <v>74</v>
      </c>
      <c r="AH106" t="s">
        <v>74</v>
      </c>
      <c r="AI106" t="s">
        <v>74</v>
      </c>
      <c r="AJ106" t="s">
        <v>74</v>
      </c>
      <c r="AK106" t="s">
        <v>74</v>
      </c>
      <c r="AL106" t="s">
        <v>74</v>
      </c>
      <c r="AM106" t="s">
        <v>74</v>
      </c>
      <c r="AN106" t="s">
        <v>74</v>
      </c>
      <c r="AO106" t="s">
        <v>1542</v>
      </c>
      <c r="AP106" t="s">
        <v>1543</v>
      </c>
      <c r="AQ106" t="s">
        <v>74</v>
      </c>
      <c r="AR106" t="s">
        <v>74</v>
      </c>
      <c r="AS106" t="s">
        <v>74</v>
      </c>
      <c r="AT106" t="s">
        <v>1582</v>
      </c>
      <c r="AU106">
        <v>2019</v>
      </c>
      <c r="AV106">
        <v>40</v>
      </c>
      <c r="AW106">
        <v>2</v>
      </c>
      <c r="AX106" t="s">
        <v>74</v>
      </c>
      <c r="AY106" t="s">
        <v>74</v>
      </c>
      <c r="AZ106" t="s">
        <v>74</v>
      </c>
      <c r="BA106" t="s">
        <v>74</v>
      </c>
      <c r="BB106">
        <v>759</v>
      </c>
      <c r="BC106">
        <v>773</v>
      </c>
      <c r="BD106" t="s">
        <v>74</v>
      </c>
      <c r="BE106" t="s">
        <v>1583</v>
      </c>
      <c r="BF106" t="str">
        <f>HYPERLINK("http://dx.doi.org/10.1080/01431161.2018.1519277","http://dx.doi.org/10.1080/01431161.2018.1519277")</f>
        <v>http://dx.doi.org/10.1080/01431161.2018.1519277</v>
      </c>
      <c r="BG106" t="s">
        <v>74</v>
      </c>
      <c r="BH106" t="s">
        <v>74</v>
      </c>
      <c r="BI106" t="s">
        <v>74</v>
      </c>
      <c r="BJ106" t="s">
        <v>74</v>
      </c>
      <c r="BK106" t="s">
        <v>74</v>
      </c>
      <c r="BL106" t="s">
        <v>74</v>
      </c>
      <c r="BM106" t="s">
        <v>74</v>
      </c>
      <c r="BN106" t="s">
        <v>74</v>
      </c>
      <c r="BO106" t="s">
        <v>74</v>
      </c>
      <c r="BP106" t="s">
        <v>74</v>
      </c>
      <c r="BQ106" t="s">
        <v>74</v>
      </c>
      <c r="BR106" t="s">
        <v>74</v>
      </c>
      <c r="BS106" t="s">
        <v>1584</v>
      </c>
      <c r="BT106" t="str">
        <f>HYPERLINK("https%3A%2F%2Fwww.webofscience.com%2Fwos%2Fwoscc%2Ffull-record%2FWOS:000457495600016","View Full Record in Web of Science")</f>
        <v>View Full Record in Web of Science</v>
      </c>
    </row>
    <row r="107" spans="1:72" x14ac:dyDescent="0.15">
      <c r="A107" t="s">
        <v>72</v>
      </c>
      <c r="B107" t="s">
        <v>1585</v>
      </c>
      <c r="C107" t="s">
        <v>74</v>
      </c>
      <c r="D107" t="s">
        <v>74</v>
      </c>
      <c r="E107" t="s">
        <v>74</v>
      </c>
      <c r="F107" t="s">
        <v>1586</v>
      </c>
      <c r="G107" t="s">
        <v>74</v>
      </c>
      <c r="H107" t="s">
        <v>74</v>
      </c>
      <c r="I107" t="s">
        <v>1587</v>
      </c>
      <c r="J107" t="s">
        <v>147</v>
      </c>
      <c r="K107" t="s">
        <v>74</v>
      </c>
      <c r="L107" t="s">
        <v>74</v>
      </c>
      <c r="M107" t="s">
        <v>74</v>
      </c>
      <c r="N107" t="s">
        <v>74</v>
      </c>
      <c r="O107" t="s">
        <v>74</v>
      </c>
      <c r="P107" t="s">
        <v>74</v>
      </c>
      <c r="Q107" t="s">
        <v>74</v>
      </c>
      <c r="R107" t="s">
        <v>74</v>
      </c>
      <c r="S107" t="s">
        <v>74</v>
      </c>
      <c r="T107" t="s">
        <v>74</v>
      </c>
      <c r="U107" t="s">
        <v>74</v>
      </c>
      <c r="V107" t="s">
        <v>1588</v>
      </c>
      <c r="W107" t="s">
        <v>74</v>
      </c>
      <c r="X107" t="s">
        <v>74</v>
      </c>
      <c r="Y107" t="s">
        <v>74</v>
      </c>
      <c r="Z107" t="s">
        <v>74</v>
      </c>
      <c r="AA107" t="s">
        <v>1322</v>
      </c>
      <c r="AB107" t="s">
        <v>1589</v>
      </c>
      <c r="AC107" t="s">
        <v>74</v>
      </c>
      <c r="AD107" t="s">
        <v>74</v>
      </c>
      <c r="AE107" t="s">
        <v>74</v>
      </c>
      <c r="AF107" t="s">
        <v>74</v>
      </c>
      <c r="AG107" t="s">
        <v>74</v>
      </c>
      <c r="AH107" t="s">
        <v>74</v>
      </c>
      <c r="AI107" t="s">
        <v>74</v>
      </c>
      <c r="AJ107" t="s">
        <v>74</v>
      </c>
      <c r="AK107" t="s">
        <v>74</v>
      </c>
      <c r="AL107" t="s">
        <v>74</v>
      </c>
      <c r="AM107" t="s">
        <v>74</v>
      </c>
      <c r="AN107" t="s">
        <v>74</v>
      </c>
      <c r="AO107" t="s">
        <v>74</v>
      </c>
      <c r="AP107" t="s">
        <v>151</v>
      </c>
      <c r="AQ107" t="s">
        <v>74</v>
      </c>
      <c r="AR107" t="s">
        <v>74</v>
      </c>
      <c r="AS107" t="s">
        <v>74</v>
      </c>
      <c r="AT107" t="s">
        <v>1590</v>
      </c>
      <c r="AU107">
        <v>2019</v>
      </c>
      <c r="AV107">
        <v>11</v>
      </c>
      <c r="AW107">
        <v>1</v>
      </c>
      <c r="AX107" t="s">
        <v>74</v>
      </c>
      <c r="AY107" t="s">
        <v>74</v>
      </c>
      <c r="AZ107" t="s">
        <v>74</v>
      </c>
      <c r="BA107" t="s">
        <v>74</v>
      </c>
      <c r="BB107" t="s">
        <v>74</v>
      </c>
      <c r="BC107" t="s">
        <v>74</v>
      </c>
      <c r="BD107">
        <v>90</v>
      </c>
      <c r="BE107" t="s">
        <v>1591</v>
      </c>
      <c r="BF107" t="str">
        <f>HYPERLINK("http://dx.doi.org/10.3390/rs11010090","http://dx.doi.org/10.3390/rs11010090")</f>
        <v>http://dx.doi.org/10.3390/rs11010090</v>
      </c>
      <c r="BG107" t="s">
        <v>74</v>
      </c>
      <c r="BH107" t="s">
        <v>74</v>
      </c>
      <c r="BI107" t="s">
        <v>74</v>
      </c>
      <c r="BJ107" t="s">
        <v>74</v>
      </c>
      <c r="BK107" t="s">
        <v>74</v>
      </c>
      <c r="BL107" t="s">
        <v>74</v>
      </c>
      <c r="BM107" t="s">
        <v>74</v>
      </c>
      <c r="BN107" t="s">
        <v>74</v>
      </c>
      <c r="BO107" t="s">
        <v>74</v>
      </c>
      <c r="BP107" t="s">
        <v>74</v>
      </c>
      <c r="BQ107" t="s">
        <v>74</v>
      </c>
      <c r="BR107" t="s">
        <v>74</v>
      </c>
      <c r="BS107" t="s">
        <v>1592</v>
      </c>
      <c r="BT107" t="str">
        <f>HYPERLINK("https%3A%2F%2Fwww.webofscience.com%2Fwos%2Fwoscc%2Ffull-record%2FWOS:000457935600090","View Full Record in Web of Science")</f>
        <v>View Full Record in Web of Science</v>
      </c>
    </row>
    <row r="108" spans="1:72" x14ac:dyDescent="0.15">
      <c r="A108" t="s">
        <v>252</v>
      </c>
      <c r="B108" t="s">
        <v>1593</v>
      </c>
      <c r="C108" t="s">
        <v>74</v>
      </c>
      <c r="D108" t="s">
        <v>74</v>
      </c>
      <c r="E108" t="s">
        <v>254</v>
      </c>
      <c r="F108" t="s">
        <v>1594</v>
      </c>
      <c r="G108" t="s">
        <v>74</v>
      </c>
      <c r="H108" t="s">
        <v>74</v>
      </c>
      <c r="I108" t="s">
        <v>1595</v>
      </c>
      <c r="J108" t="s">
        <v>818</v>
      </c>
      <c r="K108" t="s">
        <v>258</v>
      </c>
      <c r="L108" t="s">
        <v>74</v>
      </c>
      <c r="M108" t="s">
        <v>74</v>
      </c>
      <c r="N108" t="s">
        <v>74</v>
      </c>
      <c r="O108" t="s">
        <v>388</v>
      </c>
      <c r="P108" t="s">
        <v>819</v>
      </c>
      <c r="Q108" t="s">
        <v>820</v>
      </c>
      <c r="R108" t="s">
        <v>391</v>
      </c>
      <c r="S108" t="s">
        <v>74</v>
      </c>
      <c r="T108" t="s">
        <v>74</v>
      </c>
      <c r="U108" t="s">
        <v>74</v>
      </c>
      <c r="V108" t="s">
        <v>1596</v>
      </c>
      <c r="W108" t="s">
        <v>74</v>
      </c>
      <c r="X108" t="s">
        <v>74</v>
      </c>
      <c r="Y108" t="s">
        <v>74</v>
      </c>
      <c r="Z108" t="s">
        <v>74</v>
      </c>
      <c r="AA108" t="s">
        <v>1597</v>
      </c>
      <c r="AB108" t="s">
        <v>1598</v>
      </c>
      <c r="AC108" t="s">
        <v>74</v>
      </c>
      <c r="AD108" t="s">
        <v>74</v>
      </c>
      <c r="AE108" t="s">
        <v>74</v>
      </c>
      <c r="AF108" t="s">
        <v>74</v>
      </c>
      <c r="AG108" t="s">
        <v>74</v>
      </c>
      <c r="AH108" t="s">
        <v>74</v>
      </c>
      <c r="AI108" t="s">
        <v>74</v>
      </c>
      <c r="AJ108" t="s">
        <v>74</v>
      </c>
      <c r="AK108" t="s">
        <v>74</v>
      </c>
      <c r="AL108" t="s">
        <v>74</v>
      </c>
      <c r="AM108" t="s">
        <v>74</v>
      </c>
      <c r="AN108" t="s">
        <v>74</v>
      </c>
      <c r="AO108" t="s">
        <v>265</v>
      </c>
      <c r="AP108" t="s">
        <v>74</v>
      </c>
      <c r="AQ108" t="s">
        <v>824</v>
      </c>
      <c r="AR108" t="s">
        <v>74</v>
      </c>
      <c r="AS108" t="s">
        <v>74</v>
      </c>
      <c r="AT108" t="s">
        <v>74</v>
      </c>
      <c r="AU108">
        <v>2019</v>
      </c>
      <c r="AV108" t="s">
        <v>74</v>
      </c>
      <c r="AW108" t="s">
        <v>74</v>
      </c>
      <c r="AX108" t="s">
        <v>74</v>
      </c>
      <c r="AY108" t="s">
        <v>74</v>
      </c>
      <c r="AZ108" t="s">
        <v>74</v>
      </c>
      <c r="BA108" t="s">
        <v>74</v>
      </c>
      <c r="BB108">
        <v>4109</v>
      </c>
      <c r="BC108">
        <v>4112</v>
      </c>
      <c r="BD108" t="s">
        <v>74</v>
      </c>
      <c r="BE108" t="s">
        <v>1599</v>
      </c>
      <c r="BF108" t="str">
        <f>HYPERLINK("http://dx.doi.org/10.1109/igarss.2019.8900518","http://dx.doi.org/10.1109/igarss.2019.8900518")</f>
        <v>http://dx.doi.org/10.1109/igarss.2019.8900518</v>
      </c>
      <c r="BG108" t="s">
        <v>74</v>
      </c>
      <c r="BH108" t="s">
        <v>74</v>
      </c>
      <c r="BI108" t="s">
        <v>74</v>
      </c>
      <c r="BJ108" t="s">
        <v>74</v>
      </c>
      <c r="BK108" t="s">
        <v>74</v>
      </c>
      <c r="BL108" t="s">
        <v>74</v>
      </c>
      <c r="BM108" t="s">
        <v>74</v>
      </c>
      <c r="BN108" t="s">
        <v>74</v>
      </c>
      <c r="BO108" t="s">
        <v>74</v>
      </c>
      <c r="BP108" t="s">
        <v>74</v>
      </c>
      <c r="BQ108" t="s">
        <v>74</v>
      </c>
      <c r="BR108" t="s">
        <v>74</v>
      </c>
      <c r="BS108" t="s">
        <v>1600</v>
      </c>
      <c r="BT108" t="str">
        <f>HYPERLINK("https%3A%2F%2Fwww.webofscience.com%2Fwos%2Fwoscc%2Ffull-record%2FWOS:000519270604012","View Full Record in Web of Science")</f>
        <v>View Full Record in Web of Science</v>
      </c>
    </row>
    <row r="109" spans="1:72" x14ac:dyDescent="0.15">
      <c r="A109" t="s">
        <v>72</v>
      </c>
      <c r="B109" t="s">
        <v>1601</v>
      </c>
      <c r="C109" t="s">
        <v>74</v>
      </c>
      <c r="D109" t="s">
        <v>74</v>
      </c>
      <c r="E109" t="s">
        <v>74</v>
      </c>
      <c r="F109" t="s">
        <v>1602</v>
      </c>
      <c r="G109" t="s">
        <v>74</v>
      </c>
      <c r="H109" t="s">
        <v>74</v>
      </c>
      <c r="I109" t="s">
        <v>1603</v>
      </c>
      <c r="J109" t="s">
        <v>1604</v>
      </c>
      <c r="K109" t="s">
        <v>74</v>
      </c>
      <c r="L109" t="s">
        <v>74</v>
      </c>
      <c r="M109" t="s">
        <v>74</v>
      </c>
      <c r="N109" t="s">
        <v>74</v>
      </c>
      <c r="O109" t="s">
        <v>74</v>
      </c>
      <c r="P109" t="s">
        <v>74</v>
      </c>
      <c r="Q109" t="s">
        <v>74</v>
      </c>
      <c r="R109" t="s">
        <v>74</v>
      </c>
      <c r="S109" t="s">
        <v>74</v>
      </c>
      <c r="T109" t="s">
        <v>74</v>
      </c>
      <c r="U109" t="s">
        <v>74</v>
      </c>
      <c r="V109" t="s">
        <v>1605</v>
      </c>
      <c r="W109" t="s">
        <v>74</v>
      </c>
      <c r="X109" t="s">
        <v>74</v>
      </c>
      <c r="Y109" t="s">
        <v>74</v>
      </c>
      <c r="Z109" t="s">
        <v>74</v>
      </c>
      <c r="AA109" t="s">
        <v>1606</v>
      </c>
      <c r="AB109" t="s">
        <v>1607</v>
      </c>
      <c r="AC109" t="s">
        <v>74</v>
      </c>
      <c r="AD109" t="s">
        <v>74</v>
      </c>
      <c r="AE109" t="s">
        <v>74</v>
      </c>
      <c r="AF109" t="s">
        <v>74</v>
      </c>
      <c r="AG109" t="s">
        <v>74</v>
      </c>
      <c r="AH109" t="s">
        <v>74</v>
      </c>
      <c r="AI109" t="s">
        <v>74</v>
      </c>
      <c r="AJ109" t="s">
        <v>74</v>
      </c>
      <c r="AK109" t="s">
        <v>74</v>
      </c>
      <c r="AL109" t="s">
        <v>74</v>
      </c>
      <c r="AM109" t="s">
        <v>74</v>
      </c>
      <c r="AN109" t="s">
        <v>74</v>
      </c>
      <c r="AO109" t="s">
        <v>74</v>
      </c>
      <c r="AP109" t="s">
        <v>1608</v>
      </c>
      <c r="AQ109" t="s">
        <v>74</v>
      </c>
      <c r="AR109" t="s">
        <v>74</v>
      </c>
      <c r="AS109" t="s">
        <v>74</v>
      </c>
      <c r="AT109" t="s">
        <v>1609</v>
      </c>
      <c r="AU109">
        <v>2018</v>
      </c>
      <c r="AV109">
        <v>13</v>
      </c>
      <c r="AW109">
        <v>12</v>
      </c>
      <c r="AX109" t="s">
        <v>74</v>
      </c>
      <c r="AY109" t="s">
        <v>74</v>
      </c>
      <c r="AZ109" t="s">
        <v>74</v>
      </c>
      <c r="BA109" t="s">
        <v>74</v>
      </c>
      <c r="BB109" t="s">
        <v>74</v>
      </c>
      <c r="BC109" t="s">
        <v>74</v>
      </c>
      <c r="BD109" t="s">
        <v>1610</v>
      </c>
      <c r="BE109" t="s">
        <v>1611</v>
      </c>
      <c r="BF109" t="str">
        <f>HYPERLINK("http://dx.doi.org/10.1371/journal.pone.0209649","http://dx.doi.org/10.1371/journal.pone.0209649")</f>
        <v>http://dx.doi.org/10.1371/journal.pone.0209649</v>
      </c>
      <c r="BG109" t="s">
        <v>74</v>
      </c>
      <c r="BH109" t="s">
        <v>74</v>
      </c>
      <c r="BI109" t="s">
        <v>74</v>
      </c>
      <c r="BJ109" t="s">
        <v>74</v>
      </c>
      <c r="BK109" t="s">
        <v>74</v>
      </c>
      <c r="BL109" t="s">
        <v>74</v>
      </c>
      <c r="BM109" t="s">
        <v>74</v>
      </c>
      <c r="BN109">
        <v>30589858</v>
      </c>
      <c r="BO109" t="s">
        <v>74</v>
      </c>
      <c r="BP109" t="s">
        <v>74</v>
      </c>
      <c r="BQ109" t="s">
        <v>74</v>
      </c>
      <c r="BR109" t="s">
        <v>74</v>
      </c>
      <c r="BS109" t="s">
        <v>1612</v>
      </c>
      <c r="BT109" t="str">
        <f>HYPERLINK("https%3A%2F%2Fwww.webofscience.com%2Fwos%2Fwoscc%2Ffull-record%2FWOS:000454418200037","View Full Record in Web of Science")</f>
        <v>View Full Record in Web of Science</v>
      </c>
    </row>
    <row r="110" spans="1:72" x14ac:dyDescent="0.15">
      <c r="A110" t="s">
        <v>72</v>
      </c>
      <c r="B110" t="s">
        <v>1613</v>
      </c>
      <c r="C110" t="s">
        <v>74</v>
      </c>
      <c r="D110" t="s">
        <v>74</v>
      </c>
      <c r="E110" t="s">
        <v>74</v>
      </c>
      <c r="F110" t="s">
        <v>1614</v>
      </c>
      <c r="G110" t="s">
        <v>74</v>
      </c>
      <c r="H110" t="s">
        <v>74</v>
      </c>
      <c r="I110" t="s">
        <v>1615</v>
      </c>
      <c r="J110" t="s">
        <v>1616</v>
      </c>
      <c r="K110" t="s">
        <v>74</v>
      </c>
      <c r="L110" t="s">
        <v>74</v>
      </c>
      <c r="M110" t="s">
        <v>74</v>
      </c>
      <c r="N110" t="s">
        <v>74</v>
      </c>
      <c r="O110" t="s">
        <v>74</v>
      </c>
      <c r="P110" t="s">
        <v>74</v>
      </c>
      <c r="Q110" t="s">
        <v>74</v>
      </c>
      <c r="R110" t="s">
        <v>74</v>
      </c>
      <c r="S110" t="s">
        <v>74</v>
      </c>
      <c r="T110" t="s">
        <v>74</v>
      </c>
      <c r="U110" t="s">
        <v>74</v>
      </c>
      <c r="V110" t="s">
        <v>1617</v>
      </c>
      <c r="W110" t="s">
        <v>74</v>
      </c>
      <c r="X110" t="s">
        <v>74</v>
      </c>
      <c r="Y110" t="s">
        <v>74</v>
      </c>
      <c r="Z110" t="s">
        <v>74</v>
      </c>
      <c r="AA110" t="s">
        <v>1618</v>
      </c>
      <c r="AB110" t="s">
        <v>1619</v>
      </c>
      <c r="AC110" t="s">
        <v>74</v>
      </c>
      <c r="AD110" t="s">
        <v>74</v>
      </c>
      <c r="AE110" t="s">
        <v>74</v>
      </c>
      <c r="AF110" t="s">
        <v>74</v>
      </c>
      <c r="AG110" t="s">
        <v>74</v>
      </c>
      <c r="AH110" t="s">
        <v>74</v>
      </c>
      <c r="AI110" t="s">
        <v>74</v>
      </c>
      <c r="AJ110" t="s">
        <v>74</v>
      </c>
      <c r="AK110" t="s">
        <v>74</v>
      </c>
      <c r="AL110" t="s">
        <v>74</v>
      </c>
      <c r="AM110" t="s">
        <v>74</v>
      </c>
      <c r="AN110" t="s">
        <v>74</v>
      </c>
      <c r="AO110" t="s">
        <v>1620</v>
      </c>
      <c r="AP110" t="s">
        <v>1621</v>
      </c>
      <c r="AQ110" t="s">
        <v>74</v>
      </c>
      <c r="AR110" t="s">
        <v>74</v>
      </c>
      <c r="AS110" t="s">
        <v>74</v>
      </c>
      <c r="AT110" t="s">
        <v>464</v>
      </c>
      <c r="AU110">
        <v>2018</v>
      </c>
      <c r="AV110">
        <v>57</v>
      </c>
      <c r="AW110">
        <v>1</v>
      </c>
      <c r="AX110" t="s">
        <v>74</v>
      </c>
      <c r="AY110" t="s">
        <v>74</v>
      </c>
      <c r="AZ110" t="s">
        <v>74</v>
      </c>
      <c r="BA110" t="s">
        <v>74</v>
      </c>
      <c r="BB110">
        <v>49</v>
      </c>
      <c r="BC110">
        <v>68</v>
      </c>
      <c r="BD110" t="s">
        <v>74</v>
      </c>
      <c r="BE110" t="s">
        <v>1622</v>
      </c>
      <c r="BF110" t="str">
        <f>HYPERLINK("http://dx.doi.org/10.32604/cmc.2018.02376","http://dx.doi.org/10.32604/cmc.2018.02376")</f>
        <v>http://dx.doi.org/10.32604/cmc.2018.02376</v>
      </c>
      <c r="BG110" t="s">
        <v>74</v>
      </c>
      <c r="BH110" t="s">
        <v>74</v>
      </c>
      <c r="BI110" t="s">
        <v>74</v>
      </c>
      <c r="BJ110" t="s">
        <v>74</v>
      </c>
      <c r="BK110" t="s">
        <v>74</v>
      </c>
      <c r="BL110" t="s">
        <v>74</v>
      </c>
      <c r="BM110" t="s">
        <v>74</v>
      </c>
      <c r="BN110" t="s">
        <v>74</v>
      </c>
      <c r="BO110" t="s">
        <v>74</v>
      </c>
      <c r="BP110" t="s">
        <v>74</v>
      </c>
      <c r="BQ110" t="s">
        <v>74</v>
      </c>
      <c r="BR110" t="s">
        <v>74</v>
      </c>
      <c r="BS110" t="s">
        <v>1623</v>
      </c>
      <c r="BT110" t="str">
        <f>HYPERLINK("https%3A%2F%2Fwww.webofscience.com%2Fwos%2Fwoscc%2Ffull-record%2FWOS:000449577600004","View Full Record in Web of Science")</f>
        <v>View Full Record in Web of Science</v>
      </c>
    </row>
    <row r="111" spans="1:72" x14ac:dyDescent="0.15">
      <c r="A111" t="s">
        <v>72</v>
      </c>
      <c r="B111" t="s">
        <v>1624</v>
      </c>
      <c r="C111" t="s">
        <v>74</v>
      </c>
      <c r="D111" t="s">
        <v>74</v>
      </c>
      <c r="E111" t="s">
        <v>74</v>
      </c>
      <c r="F111" t="s">
        <v>1625</v>
      </c>
      <c r="G111" t="s">
        <v>74</v>
      </c>
      <c r="H111" t="s">
        <v>74</v>
      </c>
      <c r="I111" t="s">
        <v>1626</v>
      </c>
      <c r="J111" t="s">
        <v>1059</v>
      </c>
      <c r="K111" t="s">
        <v>74</v>
      </c>
      <c r="L111" t="s">
        <v>74</v>
      </c>
      <c r="M111" t="s">
        <v>74</v>
      </c>
      <c r="N111" t="s">
        <v>74</v>
      </c>
      <c r="O111" t="s">
        <v>74</v>
      </c>
      <c r="P111" t="s">
        <v>74</v>
      </c>
      <c r="Q111" t="s">
        <v>74</v>
      </c>
      <c r="R111" t="s">
        <v>74</v>
      </c>
      <c r="S111" t="s">
        <v>74</v>
      </c>
      <c r="T111" t="s">
        <v>74</v>
      </c>
      <c r="U111" t="s">
        <v>74</v>
      </c>
      <c r="V111" t="s">
        <v>1627</v>
      </c>
      <c r="W111" t="s">
        <v>74</v>
      </c>
      <c r="X111" t="s">
        <v>74</v>
      </c>
      <c r="Y111" t="s">
        <v>74</v>
      </c>
      <c r="Z111" t="s">
        <v>74</v>
      </c>
      <c r="AA111" t="s">
        <v>1628</v>
      </c>
      <c r="AB111" t="s">
        <v>1629</v>
      </c>
      <c r="AC111" t="s">
        <v>74</v>
      </c>
      <c r="AD111" t="s">
        <v>74</v>
      </c>
      <c r="AE111" t="s">
        <v>74</v>
      </c>
      <c r="AF111" t="s">
        <v>74</v>
      </c>
      <c r="AG111" t="s">
        <v>74</v>
      </c>
      <c r="AH111" t="s">
        <v>74</v>
      </c>
      <c r="AI111" t="s">
        <v>74</v>
      </c>
      <c r="AJ111" t="s">
        <v>74</v>
      </c>
      <c r="AK111" t="s">
        <v>74</v>
      </c>
      <c r="AL111" t="s">
        <v>74</v>
      </c>
      <c r="AM111" t="s">
        <v>74</v>
      </c>
      <c r="AN111" t="s">
        <v>74</v>
      </c>
      <c r="AO111" t="s">
        <v>1063</v>
      </c>
      <c r="AP111" t="s">
        <v>1064</v>
      </c>
      <c r="AQ111" t="s">
        <v>74</v>
      </c>
      <c r="AR111" t="s">
        <v>74</v>
      </c>
      <c r="AS111" t="s">
        <v>74</v>
      </c>
      <c r="AT111" t="s">
        <v>464</v>
      </c>
      <c r="AU111">
        <v>2018</v>
      </c>
      <c r="AV111">
        <v>54</v>
      </c>
      <c r="AW111">
        <v>10</v>
      </c>
      <c r="AX111" t="s">
        <v>74</v>
      </c>
      <c r="AY111" t="s">
        <v>74</v>
      </c>
      <c r="AZ111" t="s">
        <v>74</v>
      </c>
      <c r="BA111" t="s">
        <v>74</v>
      </c>
      <c r="BB111">
        <v>8253</v>
      </c>
      <c r="BC111">
        <v>8278</v>
      </c>
      <c r="BD111" t="s">
        <v>74</v>
      </c>
      <c r="BE111" t="s">
        <v>1630</v>
      </c>
      <c r="BF111" t="str">
        <f>HYPERLINK("http://dx.doi.org/10.1029/2018WR023830","http://dx.doi.org/10.1029/2018WR023830")</f>
        <v>http://dx.doi.org/10.1029/2018WR023830</v>
      </c>
      <c r="BG111" t="s">
        <v>74</v>
      </c>
      <c r="BH111" t="s">
        <v>74</v>
      </c>
      <c r="BI111" t="s">
        <v>74</v>
      </c>
      <c r="BJ111" t="s">
        <v>74</v>
      </c>
      <c r="BK111" t="s">
        <v>74</v>
      </c>
      <c r="BL111" t="s">
        <v>74</v>
      </c>
      <c r="BM111" t="s">
        <v>74</v>
      </c>
      <c r="BN111" t="s">
        <v>74</v>
      </c>
      <c r="BO111" t="s">
        <v>74</v>
      </c>
      <c r="BP111" t="s">
        <v>74</v>
      </c>
      <c r="BQ111" t="s">
        <v>74</v>
      </c>
      <c r="BR111" t="s">
        <v>74</v>
      </c>
      <c r="BS111" t="s">
        <v>1631</v>
      </c>
      <c r="BT111" t="str">
        <f>HYPERLINK("https%3A%2F%2Fwww.webofscience.com%2Fwos%2Fwoscc%2Ffull-record%2FWOS:000450726000062","View Full Record in Web of Science")</f>
        <v>View Full Record in Web of Science</v>
      </c>
    </row>
    <row r="112" spans="1:72" x14ac:dyDescent="0.15">
      <c r="A112" t="s">
        <v>72</v>
      </c>
      <c r="B112" t="s">
        <v>1632</v>
      </c>
      <c r="C112" t="s">
        <v>74</v>
      </c>
      <c r="D112" t="s">
        <v>74</v>
      </c>
      <c r="E112" t="s">
        <v>74</v>
      </c>
      <c r="F112" t="s">
        <v>1633</v>
      </c>
      <c r="G112" t="s">
        <v>74</v>
      </c>
      <c r="H112" t="s">
        <v>74</v>
      </c>
      <c r="I112" t="s">
        <v>1634</v>
      </c>
      <c r="J112" t="s">
        <v>147</v>
      </c>
      <c r="K112" t="s">
        <v>74</v>
      </c>
      <c r="L112" t="s">
        <v>74</v>
      </c>
      <c r="M112" t="s">
        <v>74</v>
      </c>
      <c r="N112" t="s">
        <v>74</v>
      </c>
      <c r="O112" t="s">
        <v>74</v>
      </c>
      <c r="P112" t="s">
        <v>74</v>
      </c>
      <c r="Q112" t="s">
        <v>74</v>
      </c>
      <c r="R112" t="s">
        <v>74</v>
      </c>
      <c r="S112" t="s">
        <v>74</v>
      </c>
      <c r="T112" t="s">
        <v>74</v>
      </c>
      <c r="U112" t="s">
        <v>74</v>
      </c>
      <c r="V112" t="s">
        <v>1635</v>
      </c>
      <c r="W112" t="s">
        <v>74</v>
      </c>
      <c r="X112" t="s">
        <v>74</v>
      </c>
      <c r="Y112" t="s">
        <v>74</v>
      </c>
      <c r="Z112" t="s">
        <v>74</v>
      </c>
      <c r="AA112" t="s">
        <v>1636</v>
      </c>
      <c r="AB112" t="s">
        <v>1637</v>
      </c>
      <c r="AC112" t="s">
        <v>74</v>
      </c>
      <c r="AD112" t="s">
        <v>74</v>
      </c>
      <c r="AE112" t="s">
        <v>74</v>
      </c>
      <c r="AF112" t="s">
        <v>74</v>
      </c>
      <c r="AG112" t="s">
        <v>74</v>
      </c>
      <c r="AH112" t="s">
        <v>74</v>
      </c>
      <c r="AI112" t="s">
        <v>74</v>
      </c>
      <c r="AJ112" t="s">
        <v>74</v>
      </c>
      <c r="AK112" t="s">
        <v>74</v>
      </c>
      <c r="AL112" t="s">
        <v>74</v>
      </c>
      <c r="AM112" t="s">
        <v>74</v>
      </c>
      <c r="AN112" t="s">
        <v>74</v>
      </c>
      <c r="AO112" t="s">
        <v>74</v>
      </c>
      <c r="AP112" t="s">
        <v>151</v>
      </c>
      <c r="AQ112" t="s">
        <v>74</v>
      </c>
      <c r="AR112" t="s">
        <v>74</v>
      </c>
      <c r="AS112" t="s">
        <v>74</v>
      </c>
      <c r="AT112" t="s">
        <v>666</v>
      </c>
      <c r="AU112">
        <v>2018</v>
      </c>
      <c r="AV112">
        <v>10</v>
      </c>
      <c r="AW112">
        <v>8</v>
      </c>
      <c r="AX112" t="s">
        <v>74</v>
      </c>
      <c r="AY112" t="s">
        <v>74</v>
      </c>
      <c r="AZ112" t="s">
        <v>74</v>
      </c>
      <c r="BA112" t="s">
        <v>74</v>
      </c>
      <c r="BB112" t="s">
        <v>74</v>
      </c>
      <c r="BC112" t="s">
        <v>74</v>
      </c>
      <c r="BD112">
        <v>1278</v>
      </c>
      <c r="BE112" t="s">
        <v>1638</v>
      </c>
      <c r="BF112" t="str">
        <f>HYPERLINK("http://dx.doi.org/10.3390/rs10081278","http://dx.doi.org/10.3390/rs10081278")</f>
        <v>http://dx.doi.org/10.3390/rs10081278</v>
      </c>
      <c r="BG112" t="s">
        <v>74</v>
      </c>
      <c r="BH112" t="s">
        <v>74</v>
      </c>
      <c r="BI112" t="s">
        <v>74</v>
      </c>
      <c r="BJ112" t="s">
        <v>74</v>
      </c>
      <c r="BK112" t="s">
        <v>74</v>
      </c>
      <c r="BL112" t="s">
        <v>74</v>
      </c>
      <c r="BM112" t="s">
        <v>74</v>
      </c>
      <c r="BN112" t="s">
        <v>74</v>
      </c>
      <c r="BO112" t="s">
        <v>74</v>
      </c>
      <c r="BP112" t="s">
        <v>74</v>
      </c>
      <c r="BQ112" t="s">
        <v>74</v>
      </c>
      <c r="BR112" t="s">
        <v>74</v>
      </c>
      <c r="BS112" t="s">
        <v>1639</v>
      </c>
      <c r="BT112" t="str">
        <f>HYPERLINK("https%3A%2F%2Fwww.webofscience.com%2Fwos%2Fwoscc%2Ffull-record%2FWOS:000443618100114","View Full Record in Web of Science")</f>
        <v>View Full Record in Web of Science</v>
      </c>
    </row>
    <row r="113" spans="1:72" x14ac:dyDescent="0.15">
      <c r="A113" t="s">
        <v>72</v>
      </c>
      <c r="B113" t="s">
        <v>1640</v>
      </c>
      <c r="C113" t="s">
        <v>74</v>
      </c>
      <c r="D113" t="s">
        <v>74</v>
      </c>
      <c r="E113" t="s">
        <v>74</v>
      </c>
      <c r="F113" t="s">
        <v>1641</v>
      </c>
      <c r="G113" t="s">
        <v>74</v>
      </c>
      <c r="H113" t="s">
        <v>74</v>
      </c>
      <c r="I113" t="s">
        <v>1642</v>
      </c>
      <c r="J113" t="s">
        <v>1643</v>
      </c>
      <c r="K113" t="s">
        <v>74</v>
      </c>
      <c r="L113" t="s">
        <v>74</v>
      </c>
      <c r="M113" t="s">
        <v>74</v>
      </c>
      <c r="N113" t="s">
        <v>74</v>
      </c>
      <c r="O113" t="s">
        <v>74</v>
      </c>
      <c r="P113" t="s">
        <v>74</v>
      </c>
      <c r="Q113" t="s">
        <v>74</v>
      </c>
      <c r="R113" t="s">
        <v>74</v>
      </c>
      <c r="S113" t="s">
        <v>74</v>
      </c>
      <c r="T113" t="s">
        <v>74</v>
      </c>
      <c r="U113" t="s">
        <v>74</v>
      </c>
      <c r="V113" t="s">
        <v>1644</v>
      </c>
      <c r="W113" t="s">
        <v>74</v>
      </c>
      <c r="X113" t="s">
        <v>74</v>
      </c>
      <c r="Y113" t="s">
        <v>74</v>
      </c>
      <c r="Z113" t="s">
        <v>74</v>
      </c>
      <c r="AA113" t="s">
        <v>1645</v>
      </c>
      <c r="AB113" t="s">
        <v>1646</v>
      </c>
      <c r="AC113" t="s">
        <v>74</v>
      </c>
      <c r="AD113" t="s">
        <v>74</v>
      </c>
      <c r="AE113" t="s">
        <v>74</v>
      </c>
      <c r="AF113" t="s">
        <v>74</v>
      </c>
      <c r="AG113" t="s">
        <v>74</v>
      </c>
      <c r="AH113" t="s">
        <v>74</v>
      </c>
      <c r="AI113" t="s">
        <v>74</v>
      </c>
      <c r="AJ113" t="s">
        <v>74</v>
      </c>
      <c r="AK113" t="s">
        <v>74</v>
      </c>
      <c r="AL113" t="s">
        <v>74</v>
      </c>
      <c r="AM113" t="s">
        <v>74</v>
      </c>
      <c r="AN113" t="s">
        <v>74</v>
      </c>
      <c r="AO113" t="s">
        <v>1647</v>
      </c>
      <c r="AP113" t="s">
        <v>1648</v>
      </c>
      <c r="AQ113" t="s">
        <v>74</v>
      </c>
      <c r="AR113" t="s">
        <v>74</v>
      </c>
      <c r="AS113" t="s">
        <v>74</v>
      </c>
      <c r="AT113" t="s">
        <v>1649</v>
      </c>
      <c r="AU113">
        <v>2018</v>
      </c>
      <c r="AV113">
        <v>11</v>
      </c>
      <c r="AW113">
        <v>7</v>
      </c>
      <c r="AX113" t="s">
        <v>74</v>
      </c>
      <c r="AY113" t="s">
        <v>74</v>
      </c>
      <c r="AZ113" t="s">
        <v>74</v>
      </c>
      <c r="BA113" t="s">
        <v>74</v>
      </c>
      <c r="BB113">
        <v>2763</v>
      </c>
      <c r="BC113">
        <v>2788</v>
      </c>
      <c r="BD113" t="s">
        <v>74</v>
      </c>
      <c r="BE113" t="s">
        <v>1650</v>
      </c>
      <c r="BF113" t="str">
        <f>HYPERLINK("http://dx.doi.org/10.5194/gmd-11-2763-2018","http://dx.doi.org/10.5194/gmd-11-2763-2018")</f>
        <v>http://dx.doi.org/10.5194/gmd-11-2763-2018</v>
      </c>
      <c r="BG113" t="s">
        <v>74</v>
      </c>
      <c r="BH113" t="s">
        <v>74</v>
      </c>
      <c r="BI113" t="s">
        <v>74</v>
      </c>
      <c r="BJ113" t="s">
        <v>74</v>
      </c>
      <c r="BK113" t="s">
        <v>74</v>
      </c>
      <c r="BL113" t="s">
        <v>74</v>
      </c>
      <c r="BM113" t="s">
        <v>74</v>
      </c>
      <c r="BN113" t="s">
        <v>74</v>
      </c>
      <c r="BO113" t="s">
        <v>74</v>
      </c>
      <c r="BP113" t="s">
        <v>74</v>
      </c>
      <c r="BQ113" t="s">
        <v>74</v>
      </c>
      <c r="BR113" t="s">
        <v>74</v>
      </c>
      <c r="BS113" t="s">
        <v>1651</v>
      </c>
      <c r="BT113" t="str">
        <f>HYPERLINK("https%3A%2F%2Fwww.webofscience.com%2Fwos%2Fwoscc%2Ffull-record%2FWOS:000438302100002","View Full Record in Web of Science")</f>
        <v>View Full Record in Web of Science</v>
      </c>
    </row>
    <row r="114" spans="1:72" x14ac:dyDescent="0.15">
      <c r="A114" t="s">
        <v>72</v>
      </c>
      <c r="B114" t="s">
        <v>850</v>
      </c>
      <c r="C114" t="s">
        <v>74</v>
      </c>
      <c r="D114" t="s">
        <v>74</v>
      </c>
      <c r="E114" t="s">
        <v>74</v>
      </c>
      <c r="F114" t="s">
        <v>851</v>
      </c>
      <c r="G114" t="s">
        <v>74</v>
      </c>
      <c r="H114" t="s">
        <v>74</v>
      </c>
      <c r="I114" t="s">
        <v>852</v>
      </c>
      <c r="J114" t="s">
        <v>122</v>
      </c>
      <c r="K114" t="s">
        <v>74</v>
      </c>
      <c r="L114" t="s">
        <v>74</v>
      </c>
      <c r="M114" t="s">
        <v>74</v>
      </c>
      <c r="N114" t="s">
        <v>74</v>
      </c>
      <c r="O114" t="s">
        <v>74</v>
      </c>
      <c r="P114" t="s">
        <v>74</v>
      </c>
      <c r="Q114" t="s">
        <v>74</v>
      </c>
      <c r="R114" t="s">
        <v>74</v>
      </c>
      <c r="S114" t="s">
        <v>74</v>
      </c>
      <c r="T114" t="s">
        <v>74</v>
      </c>
      <c r="U114" t="s">
        <v>74</v>
      </c>
      <c r="V114" t="s">
        <v>853</v>
      </c>
      <c r="W114" t="s">
        <v>74</v>
      </c>
      <c r="X114" t="s">
        <v>74</v>
      </c>
      <c r="Y114" t="s">
        <v>74</v>
      </c>
      <c r="Z114" t="s">
        <v>74</v>
      </c>
      <c r="AA114" t="s">
        <v>854</v>
      </c>
      <c r="AB114" t="s">
        <v>855</v>
      </c>
      <c r="AC114" t="s">
        <v>74</v>
      </c>
      <c r="AD114" t="s">
        <v>74</v>
      </c>
      <c r="AE114" t="s">
        <v>74</v>
      </c>
      <c r="AF114" t="s">
        <v>74</v>
      </c>
      <c r="AG114" t="s">
        <v>74</v>
      </c>
      <c r="AH114" t="s">
        <v>74</v>
      </c>
      <c r="AI114" t="s">
        <v>74</v>
      </c>
      <c r="AJ114" t="s">
        <v>74</v>
      </c>
      <c r="AK114" t="s">
        <v>74</v>
      </c>
      <c r="AL114" t="s">
        <v>74</v>
      </c>
      <c r="AM114" t="s">
        <v>74</v>
      </c>
      <c r="AN114" t="s">
        <v>74</v>
      </c>
      <c r="AO114" t="s">
        <v>126</v>
      </c>
      <c r="AP114" t="s">
        <v>127</v>
      </c>
      <c r="AQ114" t="s">
        <v>74</v>
      </c>
      <c r="AR114" t="s">
        <v>74</v>
      </c>
      <c r="AS114" t="s">
        <v>74</v>
      </c>
      <c r="AT114" t="s">
        <v>675</v>
      </c>
      <c r="AU114">
        <v>2018</v>
      </c>
      <c r="AV114">
        <v>210</v>
      </c>
      <c r="AW114" t="s">
        <v>74</v>
      </c>
      <c r="AX114" t="s">
        <v>74</v>
      </c>
      <c r="AY114" t="s">
        <v>74</v>
      </c>
      <c r="AZ114" t="s">
        <v>74</v>
      </c>
      <c r="BA114" t="s">
        <v>74</v>
      </c>
      <c r="BB114">
        <v>48</v>
      </c>
      <c r="BC114">
        <v>64</v>
      </c>
      <c r="BD114" t="s">
        <v>74</v>
      </c>
      <c r="BE114" t="s">
        <v>856</v>
      </c>
      <c r="BF114" t="str">
        <f>HYPERLINK("http://dx.doi.org/10.1016/j.rse.2018.03.008","http://dx.doi.org/10.1016/j.rse.2018.03.008")</f>
        <v>http://dx.doi.org/10.1016/j.rse.2018.03.008</v>
      </c>
      <c r="BG114" t="s">
        <v>74</v>
      </c>
      <c r="BH114" t="s">
        <v>74</v>
      </c>
      <c r="BI114" t="s">
        <v>74</v>
      </c>
      <c r="BJ114" t="s">
        <v>74</v>
      </c>
      <c r="BK114" t="s">
        <v>74</v>
      </c>
      <c r="BL114" t="s">
        <v>74</v>
      </c>
      <c r="BM114" t="s">
        <v>74</v>
      </c>
      <c r="BN114" t="s">
        <v>74</v>
      </c>
      <c r="BO114" t="s">
        <v>74</v>
      </c>
      <c r="BP114" t="s">
        <v>74</v>
      </c>
      <c r="BQ114" t="s">
        <v>74</v>
      </c>
      <c r="BR114" t="s">
        <v>74</v>
      </c>
      <c r="BS114" t="s">
        <v>857</v>
      </c>
      <c r="BT114" t="str">
        <f>HYPERLINK("https%3A%2F%2Fwww.webofscience.com%2Fwos%2Fwoscc%2Ffull-record%2FWOS:000431164300005","View Full Record in Web of Science")</f>
        <v>View Full Record in Web of Science</v>
      </c>
    </row>
    <row r="115" spans="1:72" x14ac:dyDescent="0.15">
      <c r="A115" t="s">
        <v>72</v>
      </c>
      <c r="B115" t="s">
        <v>858</v>
      </c>
      <c r="C115" t="s">
        <v>74</v>
      </c>
      <c r="D115" t="s">
        <v>74</v>
      </c>
      <c r="E115" t="s">
        <v>74</v>
      </c>
      <c r="F115" t="s">
        <v>859</v>
      </c>
      <c r="G115" t="s">
        <v>74</v>
      </c>
      <c r="H115" t="s">
        <v>74</v>
      </c>
      <c r="I115" t="s">
        <v>860</v>
      </c>
      <c r="J115" t="s">
        <v>77</v>
      </c>
      <c r="K115" t="s">
        <v>74</v>
      </c>
      <c r="L115" t="s">
        <v>74</v>
      </c>
      <c r="M115" t="s">
        <v>74</v>
      </c>
      <c r="N115" t="s">
        <v>74</v>
      </c>
      <c r="O115" t="s">
        <v>74</v>
      </c>
      <c r="P115" t="s">
        <v>74</v>
      </c>
      <c r="Q115" t="s">
        <v>74</v>
      </c>
      <c r="R115" t="s">
        <v>74</v>
      </c>
      <c r="S115" t="s">
        <v>74</v>
      </c>
      <c r="T115" t="s">
        <v>74</v>
      </c>
      <c r="U115" t="s">
        <v>74</v>
      </c>
      <c r="V115" t="s">
        <v>861</v>
      </c>
      <c r="W115" t="s">
        <v>74</v>
      </c>
      <c r="X115" t="s">
        <v>74</v>
      </c>
      <c r="Y115" t="s">
        <v>74</v>
      </c>
      <c r="Z115" t="s">
        <v>74</v>
      </c>
      <c r="AA115" t="s">
        <v>862</v>
      </c>
      <c r="AB115" t="s">
        <v>863</v>
      </c>
      <c r="AC115" t="s">
        <v>74</v>
      </c>
      <c r="AD115" t="s">
        <v>74</v>
      </c>
      <c r="AE115" t="s">
        <v>74</v>
      </c>
      <c r="AF115" t="s">
        <v>74</v>
      </c>
      <c r="AG115" t="s">
        <v>74</v>
      </c>
      <c r="AH115" t="s">
        <v>74</v>
      </c>
      <c r="AI115" t="s">
        <v>74</v>
      </c>
      <c r="AJ115" t="s">
        <v>74</v>
      </c>
      <c r="AK115" t="s">
        <v>74</v>
      </c>
      <c r="AL115" t="s">
        <v>74</v>
      </c>
      <c r="AM115" t="s">
        <v>74</v>
      </c>
      <c r="AN115" t="s">
        <v>74</v>
      </c>
      <c r="AO115" t="s">
        <v>79</v>
      </c>
      <c r="AP115" t="s">
        <v>80</v>
      </c>
      <c r="AQ115" t="s">
        <v>74</v>
      </c>
      <c r="AR115" t="s">
        <v>74</v>
      </c>
      <c r="AS115" t="s">
        <v>74</v>
      </c>
      <c r="AT115" t="s">
        <v>864</v>
      </c>
      <c r="AU115">
        <v>2018</v>
      </c>
      <c r="AV115">
        <v>12</v>
      </c>
      <c r="AW115">
        <v>5</v>
      </c>
      <c r="AX115" t="s">
        <v>74</v>
      </c>
      <c r="AY115" t="s">
        <v>74</v>
      </c>
      <c r="AZ115" t="s">
        <v>74</v>
      </c>
      <c r="BA115" t="s">
        <v>74</v>
      </c>
      <c r="BB115">
        <v>1579</v>
      </c>
      <c r="BC115">
        <v>1594</v>
      </c>
      <c r="BD115" t="s">
        <v>74</v>
      </c>
      <c r="BE115" t="s">
        <v>865</v>
      </c>
      <c r="BF115" t="str">
        <f>HYPERLINK("http://dx.doi.org/10.5194/tc-12-1579-2018","http://dx.doi.org/10.5194/tc-12-1579-2018")</f>
        <v>http://dx.doi.org/10.5194/tc-12-1579-2018</v>
      </c>
      <c r="BG115" t="s">
        <v>74</v>
      </c>
      <c r="BH115" t="s">
        <v>74</v>
      </c>
      <c r="BI115" t="s">
        <v>74</v>
      </c>
      <c r="BJ115" t="s">
        <v>74</v>
      </c>
      <c r="BK115" t="s">
        <v>74</v>
      </c>
      <c r="BL115" t="s">
        <v>74</v>
      </c>
      <c r="BM115" t="s">
        <v>74</v>
      </c>
      <c r="BN115" t="s">
        <v>74</v>
      </c>
      <c r="BO115" t="s">
        <v>74</v>
      </c>
      <c r="BP115" t="s">
        <v>74</v>
      </c>
      <c r="BQ115" t="s">
        <v>74</v>
      </c>
      <c r="BR115" t="s">
        <v>74</v>
      </c>
      <c r="BS115" t="s">
        <v>866</v>
      </c>
      <c r="BT115" t="str">
        <f>HYPERLINK("https%3A%2F%2Fwww.webofscience.com%2Fwos%2Fwoscc%2Ffull-record%2FWOS:000431368300002","View Full Record in Web of Science")</f>
        <v>View Full Record in Web of Science</v>
      </c>
    </row>
    <row r="116" spans="1:72" x14ac:dyDescent="0.15">
      <c r="A116" t="s">
        <v>72</v>
      </c>
      <c r="B116" t="s">
        <v>1652</v>
      </c>
      <c r="C116" t="s">
        <v>74</v>
      </c>
      <c r="D116" t="s">
        <v>74</v>
      </c>
      <c r="E116" t="s">
        <v>74</v>
      </c>
      <c r="F116" t="s">
        <v>1653</v>
      </c>
      <c r="G116" t="s">
        <v>74</v>
      </c>
      <c r="H116" t="s">
        <v>74</v>
      </c>
      <c r="I116" t="s">
        <v>1654</v>
      </c>
      <c r="J116" t="s">
        <v>77</v>
      </c>
      <c r="K116" t="s">
        <v>74</v>
      </c>
      <c r="L116" t="s">
        <v>74</v>
      </c>
      <c r="M116" t="s">
        <v>74</v>
      </c>
      <c r="N116" t="s">
        <v>74</v>
      </c>
      <c r="O116" t="s">
        <v>74</v>
      </c>
      <c r="P116" t="s">
        <v>74</v>
      </c>
      <c r="Q116" t="s">
        <v>74</v>
      </c>
      <c r="R116" t="s">
        <v>74</v>
      </c>
      <c r="S116" t="s">
        <v>74</v>
      </c>
      <c r="T116" t="s">
        <v>74</v>
      </c>
      <c r="U116" t="s">
        <v>74</v>
      </c>
      <c r="V116" t="s">
        <v>1655</v>
      </c>
      <c r="W116" t="s">
        <v>74</v>
      </c>
      <c r="X116" t="s">
        <v>74</v>
      </c>
      <c r="Y116" t="s">
        <v>74</v>
      </c>
      <c r="Z116" t="s">
        <v>74</v>
      </c>
      <c r="AA116" t="s">
        <v>1656</v>
      </c>
      <c r="AB116" t="s">
        <v>1657</v>
      </c>
      <c r="AC116" t="s">
        <v>74</v>
      </c>
      <c r="AD116" t="s">
        <v>74</v>
      </c>
      <c r="AE116" t="s">
        <v>74</v>
      </c>
      <c r="AF116" t="s">
        <v>74</v>
      </c>
      <c r="AG116" t="s">
        <v>74</v>
      </c>
      <c r="AH116" t="s">
        <v>74</v>
      </c>
      <c r="AI116" t="s">
        <v>74</v>
      </c>
      <c r="AJ116" t="s">
        <v>74</v>
      </c>
      <c r="AK116" t="s">
        <v>74</v>
      </c>
      <c r="AL116" t="s">
        <v>74</v>
      </c>
      <c r="AM116" t="s">
        <v>74</v>
      </c>
      <c r="AN116" t="s">
        <v>74</v>
      </c>
      <c r="AO116" t="s">
        <v>79</v>
      </c>
      <c r="AP116" t="s">
        <v>80</v>
      </c>
      <c r="AQ116" t="s">
        <v>74</v>
      </c>
      <c r="AR116" t="s">
        <v>74</v>
      </c>
      <c r="AS116" t="s">
        <v>74</v>
      </c>
      <c r="AT116" t="s">
        <v>1658</v>
      </c>
      <c r="AU116">
        <v>2018</v>
      </c>
      <c r="AV116">
        <v>12</v>
      </c>
      <c r="AW116">
        <v>3</v>
      </c>
      <c r="AX116" t="s">
        <v>74</v>
      </c>
      <c r="AY116" t="s">
        <v>74</v>
      </c>
      <c r="AZ116" t="s">
        <v>74</v>
      </c>
      <c r="BA116" t="s">
        <v>74</v>
      </c>
      <c r="BB116">
        <v>891</v>
      </c>
      <c r="BC116">
        <v>905</v>
      </c>
      <c r="BD116" t="s">
        <v>74</v>
      </c>
      <c r="BE116" t="s">
        <v>1659</v>
      </c>
      <c r="BF116" t="str">
        <f>HYPERLINK("http://dx.doi.org/10.5194/tc-12-891-2018","http://dx.doi.org/10.5194/tc-12-891-2018")</f>
        <v>http://dx.doi.org/10.5194/tc-12-891-2018</v>
      </c>
      <c r="BG116" t="s">
        <v>74</v>
      </c>
      <c r="BH116" t="s">
        <v>74</v>
      </c>
      <c r="BI116" t="s">
        <v>74</v>
      </c>
      <c r="BJ116" t="s">
        <v>74</v>
      </c>
      <c r="BK116" t="s">
        <v>74</v>
      </c>
      <c r="BL116" t="s">
        <v>74</v>
      </c>
      <c r="BM116" t="s">
        <v>74</v>
      </c>
      <c r="BN116" t="s">
        <v>74</v>
      </c>
      <c r="BO116" t="s">
        <v>74</v>
      </c>
      <c r="BP116" t="s">
        <v>74</v>
      </c>
      <c r="BQ116" t="s">
        <v>74</v>
      </c>
      <c r="BR116" t="s">
        <v>74</v>
      </c>
      <c r="BS116" t="s">
        <v>1660</v>
      </c>
      <c r="BT116" t="str">
        <f>HYPERLINK("https%3A%2F%2Fwww.webofscience.com%2Fwos%2Fwoscc%2Ffull-record%2FWOS:000427109300001","View Full Record in Web of Science")</f>
        <v>View Full Record in Web of Science</v>
      </c>
    </row>
    <row r="117" spans="1:72" x14ac:dyDescent="0.15">
      <c r="A117" t="s">
        <v>72</v>
      </c>
      <c r="B117" t="s">
        <v>1661</v>
      </c>
      <c r="C117" t="s">
        <v>74</v>
      </c>
      <c r="D117" t="s">
        <v>74</v>
      </c>
      <c r="E117" t="s">
        <v>74</v>
      </c>
      <c r="F117" t="s">
        <v>1662</v>
      </c>
      <c r="G117" t="s">
        <v>74</v>
      </c>
      <c r="H117" t="s">
        <v>74</v>
      </c>
      <c r="I117" t="s">
        <v>1663</v>
      </c>
      <c r="J117" t="s">
        <v>147</v>
      </c>
      <c r="K117" t="s">
        <v>74</v>
      </c>
      <c r="L117" t="s">
        <v>74</v>
      </c>
      <c r="M117" t="s">
        <v>74</v>
      </c>
      <c r="N117" t="s">
        <v>74</v>
      </c>
      <c r="O117" t="s">
        <v>74</v>
      </c>
      <c r="P117" t="s">
        <v>74</v>
      </c>
      <c r="Q117" t="s">
        <v>74</v>
      </c>
      <c r="R117" t="s">
        <v>74</v>
      </c>
      <c r="S117" t="s">
        <v>74</v>
      </c>
      <c r="T117" t="s">
        <v>74</v>
      </c>
      <c r="U117" t="s">
        <v>74</v>
      </c>
      <c r="V117" t="s">
        <v>1664</v>
      </c>
      <c r="W117" t="s">
        <v>74</v>
      </c>
      <c r="X117" t="s">
        <v>74</v>
      </c>
      <c r="Y117" t="s">
        <v>74</v>
      </c>
      <c r="Z117" t="s">
        <v>74</v>
      </c>
      <c r="AA117" t="s">
        <v>1665</v>
      </c>
      <c r="AB117" t="s">
        <v>1666</v>
      </c>
      <c r="AC117" t="s">
        <v>74</v>
      </c>
      <c r="AD117" t="s">
        <v>74</v>
      </c>
      <c r="AE117" t="s">
        <v>74</v>
      </c>
      <c r="AF117" t="s">
        <v>74</v>
      </c>
      <c r="AG117" t="s">
        <v>74</v>
      </c>
      <c r="AH117" t="s">
        <v>74</v>
      </c>
      <c r="AI117" t="s">
        <v>74</v>
      </c>
      <c r="AJ117" t="s">
        <v>74</v>
      </c>
      <c r="AK117" t="s">
        <v>74</v>
      </c>
      <c r="AL117" t="s">
        <v>74</v>
      </c>
      <c r="AM117" t="s">
        <v>74</v>
      </c>
      <c r="AN117" t="s">
        <v>74</v>
      </c>
      <c r="AO117" t="s">
        <v>151</v>
      </c>
      <c r="AP117" t="s">
        <v>74</v>
      </c>
      <c r="AQ117" t="s">
        <v>74</v>
      </c>
      <c r="AR117" t="s">
        <v>74</v>
      </c>
      <c r="AS117" t="s">
        <v>74</v>
      </c>
      <c r="AT117" t="s">
        <v>311</v>
      </c>
      <c r="AU117">
        <v>2018</v>
      </c>
      <c r="AV117">
        <v>10</v>
      </c>
      <c r="AW117">
        <v>2</v>
      </c>
      <c r="AX117" t="s">
        <v>74</v>
      </c>
      <c r="AY117" t="s">
        <v>74</v>
      </c>
      <c r="AZ117" t="s">
        <v>74</v>
      </c>
      <c r="BA117" t="s">
        <v>74</v>
      </c>
      <c r="BB117" t="s">
        <v>74</v>
      </c>
      <c r="BC117" t="s">
        <v>74</v>
      </c>
      <c r="BD117">
        <v>170</v>
      </c>
      <c r="BE117" t="s">
        <v>1667</v>
      </c>
      <c r="BF117" t="str">
        <f>HYPERLINK("http://dx.doi.org/10.3390/rs10020170","http://dx.doi.org/10.3390/rs10020170")</f>
        <v>http://dx.doi.org/10.3390/rs10020170</v>
      </c>
      <c r="BG117" t="s">
        <v>74</v>
      </c>
      <c r="BH117" t="s">
        <v>74</v>
      </c>
      <c r="BI117" t="s">
        <v>74</v>
      </c>
      <c r="BJ117" t="s">
        <v>74</v>
      </c>
      <c r="BK117" t="s">
        <v>74</v>
      </c>
      <c r="BL117" t="s">
        <v>74</v>
      </c>
      <c r="BM117" t="s">
        <v>74</v>
      </c>
      <c r="BN117" t="s">
        <v>74</v>
      </c>
      <c r="BO117" t="s">
        <v>74</v>
      </c>
      <c r="BP117" t="s">
        <v>74</v>
      </c>
      <c r="BQ117" t="s">
        <v>74</v>
      </c>
      <c r="BR117" t="s">
        <v>74</v>
      </c>
      <c r="BS117" t="s">
        <v>1668</v>
      </c>
      <c r="BT117" t="str">
        <f>HYPERLINK("https%3A%2F%2Fwww.webofscience.com%2Fwos%2Fwoscc%2Ffull-record%2FWOS:000427542100017","View Full Record in Web of Science")</f>
        <v>View Full Record in Web of Science</v>
      </c>
    </row>
    <row r="118" spans="1:72" x14ac:dyDescent="0.15">
      <c r="A118" t="s">
        <v>252</v>
      </c>
      <c r="B118" t="s">
        <v>880</v>
      </c>
      <c r="C118" t="s">
        <v>74</v>
      </c>
      <c r="D118" t="s">
        <v>74</v>
      </c>
      <c r="E118" t="s">
        <v>254</v>
      </c>
      <c r="F118" t="s">
        <v>881</v>
      </c>
      <c r="G118" t="s">
        <v>74</v>
      </c>
      <c r="H118" t="s">
        <v>74</v>
      </c>
      <c r="I118" t="s">
        <v>882</v>
      </c>
      <c r="J118" t="s">
        <v>870</v>
      </c>
      <c r="K118" t="s">
        <v>258</v>
      </c>
      <c r="L118" t="s">
        <v>74</v>
      </c>
      <c r="M118" t="s">
        <v>74</v>
      </c>
      <c r="N118" t="s">
        <v>74</v>
      </c>
      <c r="O118" t="s">
        <v>871</v>
      </c>
      <c r="P118" t="s">
        <v>872</v>
      </c>
      <c r="Q118" t="s">
        <v>873</v>
      </c>
      <c r="R118" t="s">
        <v>874</v>
      </c>
      <c r="S118" t="s">
        <v>74</v>
      </c>
      <c r="T118" t="s">
        <v>74</v>
      </c>
      <c r="U118" t="s">
        <v>74</v>
      </c>
      <c r="V118" t="s">
        <v>883</v>
      </c>
      <c r="W118" t="s">
        <v>74</v>
      </c>
      <c r="X118" t="s">
        <v>74</v>
      </c>
      <c r="Y118" t="s">
        <v>74</v>
      </c>
      <c r="Z118" t="s">
        <v>74</v>
      </c>
      <c r="AA118" t="s">
        <v>884</v>
      </c>
      <c r="AB118" t="s">
        <v>885</v>
      </c>
      <c r="AC118" t="s">
        <v>74</v>
      </c>
      <c r="AD118" t="s">
        <v>74</v>
      </c>
      <c r="AE118" t="s">
        <v>74</v>
      </c>
      <c r="AF118" t="s">
        <v>74</v>
      </c>
      <c r="AG118" t="s">
        <v>74</v>
      </c>
      <c r="AH118" t="s">
        <v>74</v>
      </c>
      <c r="AI118" t="s">
        <v>74</v>
      </c>
      <c r="AJ118" t="s">
        <v>74</v>
      </c>
      <c r="AK118" t="s">
        <v>74</v>
      </c>
      <c r="AL118" t="s">
        <v>74</v>
      </c>
      <c r="AM118" t="s">
        <v>74</v>
      </c>
      <c r="AN118" t="s">
        <v>74</v>
      </c>
      <c r="AO118" t="s">
        <v>265</v>
      </c>
      <c r="AP118" t="s">
        <v>74</v>
      </c>
      <c r="AQ118" t="s">
        <v>878</v>
      </c>
      <c r="AR118" t="s">
        <v>74</v>
      </c>
      <c r="AS118" t="s">
        <v>74</v>
      </c>
      <c r="AT118" t="s">
        <v>74</v>
      </c>
      <c r="AU118">
        <v>2018</v>
      </c>
      <c r="AV118" t="s">
        <v>74</v>
      </c>
      <c r="AW118" t="s">
        <v>74</v>
      </c>
      <c r="AX118" t="s">
        <v>74</v>
      </c>
      <c r="AY118" t="s">
        <v>74</v>
      </c>
      <c r="AZ118" t="s">
        <v>74</v>
      </c>
      <c r="BA118" t="s">
        <v>74</v>
      </c>
      <c r="BB118">
        <v>6291</v>
      </c>
      <c r="BC118">
        <v>6293</v>
      </c>
      <c r="BD118" t="s">
        <v>74</v>
      </c>
      <c r="BE118" t="s">
        <v>74</v>
      </c>
      <c r="BF118" t="s">
        <v>74</v>
      </c>
      <c r="BG118" t="s">
        <v>74</v>
      </c>
      <c r="BH118" t="s">
        <v>74</v>
      </c>
      <c r="BI118" t="s">
        <v>74</v>
      </c>
      <c r="BJ118" t="s">
        <v>74</v>
      </c>
      <c r="BK118" t="s">
        <v>74</v>
      </c>
      <c r="BL118" t="s">
        <v>74</v>
      </c>
      <c r="BM118" t="s">
        <v>74</v>
      </c>
      <c r="BN118" t="s">
        <v>74</v>
      </c>
      <c r="BO118" t="s">
        <v>74</v>
      </c>
      <c r="BP118" t="s">
        <v>74</v>
      </c>
      <c r="BQ118" t="s">
        <v>74</v>
      </c>
      <c r="BR118" t="s">
        <v>74</v>
      </c>
      <c r="BS118" t="s">
        <v>886</v>
      </c>
      <c r="BT118" t="str">
        <f>HYPERLINK("https%3A%2F%2Fwww.webofscience.com%2Fwos%2Fwoscc%2Ffull-record%2FWOS:000451039806022","View Full Record in Web of Science")</f>
        <v>View Full Record in Web of Science</v>
      </c>
    </row>
    <row r="119" spans="1:72" x14ac:dyDescent="0.15">
      <c r="A119" t="s">
        <v>252</v>
      </c>
      <c r="B119" t="s">
        <v>1669</v>
      </c>
      <c r="C119" t="s">
        <v>74</v>
      </c>
      <c r="D119" t="s">
        <v>1670</v>
      </c>
      <c r="E119" t="s">
        <v>74</v>
      </c>
      <c r="F119" t="s">
        <v>1671</v>
      </c>
      <c r="G119" t="s">
        <v>74</v>
      </c>
      <c r="H119" t="s">
        <v>74</v>
      </c>
      <c r="I119" t="s">
        <v>1672</v>
      </c>
      <c r="J119" t="s">
        <v>1673</v>
      </c>
      <c r="K119" t="s">
        <v>1674</v>
      </c>
      <c r="L119" t="s">
        <v>74</v>
      </c>
      <c r="M119" t="s">
        <v>74</v>
      </c>
      <c r="N119" t="s">
        <v>74</v>
      </c>
      <c r="O119" t="s">
        <v>1675</v>
      </c>
      <c r="P119" t="s">
        <v>1676</v>
      </c>
      <c r="Q119" t="s">
        <v>1677</v>
      </c>
      <c r="R119" t="s">
        <v>1678</v>
      </c>
      <c r="S119" t="s">
        <v>74</v>
      </c>
      <c r="T119" t="s">
        <v>74</v>
      </c>
      <c r="U119" t="s">
        <v>74</v>
      </c>
      <c r="V119" t="s">
        <v>1679</v>
      </c>
      <c r="W119" t="s">
        <v>74</v>
      </c>
      <c r="X119" t="s">
        <v>74</v>
      </c>
      <c r="Y119" t="s">
        <v>74</v>
      </c>
      <c r="Z119" t="s">
        <v>74</v>
      </c>
      <c r="AA119" t="s">
        <v>1680</v>
      </c>
      <c r="AB119" t="s">
        <v>1681</v>
      </c>
      <c r="AC119" t="s">
        <v>74</v>
      </c>
      <c r="AD119" t="s">
        <v>74</v>
      </c>
      <c r="AE119" t="s">
        <v>74</v>
      </c>
      <c r="AF119" t="s">
        <v>74</v>
      </c>
      <c r="AG119" t="s">
        <v>74</v>
      </c>
      <c r="AH119" t="s">
        <v>74</v>
      </c>
      <c r="AI119" t="s">
        <v>74</v>
      </c>
      <c r="AJ119" t="s">
        <v>74</v>
      </c>
      <c r="AK119" t="s">
        <v>74</v>
      </c>
      <c r="AL119" t="s">
        <v>74</v>
      </c>
      <c r="AM119" t="s">
        <v>74</v>
      </c>
      <c r="AN119" t="s">
        <v>74</v>
      </c>
      <c r="AO119" t="s">
        <v>1682</v>
      </c>
      <c r="AP119" t="s">
        <v>1683</v>
      </c>
      <c r="AQ119" t="s">
        <v>74</v>
      </c>
      <c r="AR119" t="s">
        <v>74</v>
      </c>
      <c r="AS119" t="s">
        <v>74</v>
      </c>
      <c r="AT119" t="s">
        <v>74</v>
      </c>
      <c r="AU119">
        <v>2018</v>
      </c>
      <c r="AV119" t="s">
        <v>1684</v>
      </c>
      <c r="AW119" t="s">
        <v>74</v>
      </c>
      <c r="AX119" t="s">
        <v>74</v>
      </c>
      <c r="AY119" t="s">
        <v>74</v>
      </c>
      <c r="AZ119" t="s">
        <v>74</v>
      </c>
      <c r="BA119" t="s">
        <v>74</v>
      </c>
      <c r="BB119">
        <v>59</v>
      </c>
      <c r="BC119">
        <v>63</v>
      </c>
      <c r="BD119" t="s">
        <v>74</v>
      </c>
      <c r="BE119" t="s">
        <v>1685</v>
      </c>
      <c r="BF119" t="str">
        <f>HYPERLINK("http://dx.doi.org/10.5194/isprs-annals-IV-5-59-2018","http://dx.doi.org/10.5194/isprs-annals-IV-5-59-2018")</f>
        <v>http://dx.doi.org/10.5194/isprs-annals-IV-5-59-2018</v>
      </c>
      <c r="BG119" t="s">
        <v>74</v>
      </c>
      <c r="BH119" t="s">
        <v>74</v>
      </c>
      <c r="BI119" t="s">
        <v>74</v>
      </c>
      <c r="BJ119" t="s">
        <v>74</v>
      </c>
      <c r="BK119" t="s">
        <v>74</v>
      </c>
      <c r="BL119" t="s">
        <v>74</v>
      </c>
      <c r="BM119" t="s">
        <v>74</v>
      </c>
      <c r="BN119" t="s">
        <v>74</v>
      </c>
      <c r="BO119" t="s">
        <v>74</v>
      </c>
      <c r="BP119" t="s">
        <v>74</v>
      </c>
      <c r="BQ119" t="s">
        <v>74</v>
      </c>
      <c r="BR119" t="s">
        <v>74</v>
      </c>
      <c r="BS119" t="s">
        <v>1686</v>
      </c>
      <c r="BT119" t="str">
        <f>HYPERLINK("https%3A%2F%2Fwww.webofscience.com%2Fwos%2Fwoscc%2Ffull-record%2FWOS:000466548600009","View Full Record in Web of Science")</f>
        <v>View Full Record in Web of Science</v>
      </c>
    </row>
    <row r="120" spans="1:72" x14ac:dyDescent="0.15">
      <c r="A120" t="s">
        <v>72</v>
      </c>
      <c r="B120" t="s">
        <v>1687</v>
      </c>
      <c r="C120" t="s">
        <v>74</v>
      </c>
      <c r="D120" t="s">
        <v>74</v>
      </c>
      <c r="E120" t="s">
        <v>74</v>
      </c>
      <c r="F120" t="s">
        <v>1688</v>
      </c>
      <c r="G120" t="s">
        <v>74</v>
      </c>
      <c r="H120" t="s">
        <v>74</v>
      </c>
      <c r="I120" t="s">
        <v>1689</v>
      </c>
      <c r="J120" t="s">
        <v>122</v>
      </c>
      <c r="K120" t="s">
        <v>74</v>
      </c>
      <c r="L120" t="s">
        <v>74</v>
      </c>
      <c r="M120" t="s">
        <v>74</v>
      </c>
      <c r="N120" t="s">
        <v>74</v>
      </c>
      <c r="O120" t="s">
        <v>74</v>
      </c>
      <c r="P120" t="s">
        <v>74</v>
      </c>
      <c r="Q120" t="s">
        <v>74</v>
      </c>
      <c r="R120" t="s">
        <v>74</v>
      </c>
      <c r="S120" t="s">
        <v>74</v>
      </c>
      <c r="T120" t="s">
        <v>74</v>
      </c>
      <c r="U120" t="s">
        <v>74</v>
      </c>
      <c r="V120" t="s">
        <v>1690</v>
      </c>
      <c r="W120" t="s">
        <v>74</v>
      </c>
      <c r="X120" t="s">
        <v>74</v>
      </c>
      <c r="Y120" t="s">
        <v>74</v>
      </c>
      <c r="Z120" t="s">
        <v>74</v>
      </c>
      <c r="AA120" t="s">
        <v>1691</v>
      </c>
      <c r="AB120" t="s">
        <v>1692</v>
      </c>
      <c r="AC120" t="s">
        <v>74</v>
      </c>
      <c r="AD120" t="s">
        <v>74</v>
      </c>
      <c r="AE120" t="s">
        <v>74</v>
      </c>
      <c r="AF120" t="s">
        <v>74</v>
      </c>
      <c r="AG120" t="s">
        <v>74</v>
      </c>
      <c r="AH120" t="s">
        <v>74</v>
      </c>
      <c r="AI120" t="s">
        <v>74</v>
      </c>
      <c r="AJ120" t="s">
        <v>74</v>
      </c>
      <c r="AK120" t="s">
        <v>74</v>
      </c>
      <c r="AL120" t="s">
        <v>74</v>
      </c>
      <c r="AM120" t="s">
        <v>74</v>
      </c>
      <c r="AN120" t="s">
        <v>74</v>
      </c>
      <c r="AO120" t="s">
        <v>126</v>
      </c>
      <c r="AP120" t="s">
        <v>127</v>
      </c>
      <c r="AQ120" t="s">
        <v>74</v>
      </c>
      <c r="AR120" t="s">
        <v>74</v>
      </c>
      <c r="AS120" t="s">
        <v>74</v>
      </c>
      <c r="AT120" t="s">
        <v>190</v>
      </c>
      <c r="AU120">
        <v>2017</v>
      </c>
      <c r="AV120">
        <v>192</v>
      </c>
      <c r="AW120" t="s">
        <v>74</v>
      </c>
      <c r="AX120" t="s">
        <v>74</v>
      </c>
      <c r="AY120" t="s">
        <v>74</v>
      </c>
      <c r="AZ120" t="s">
        <v>74</v>
      </c>
      <c r="BA120" t="s">
        <v>74</v>
      </c>
      <c r="BB120">
        <v>150</v>
      </c>
      <c r="BC120">
        <v>165</v>
      </c>
      <c r="BD120" t="s">
        <v>74</v>
      </c>
      <c r="BE120" t="s">
        <v>1693</v>
      </c>
      <c r="BF120" t="str">
        <f>HYPERLINK("http://dx.doi.org/10.1016/j.rse.2017.02.006","http://dx.doi.org/10.1016/j.rse.2017.02.006")</f>
        <v>http://dx.doi.org/10.1016/j.rse.2017.02.006</v>
      </c>
      <c r="BG120" t="s">
        <v>74</v>
      </c>
      <c r="BH120" t="s">
        <v>74</v>
      </c>
      <c r="BI120" t="s">
        <v>74</v>
      </c>
      <c r="BJ120" t="s">
        <v>74</v>
      </c>
      <c r="BK120" t="s">
        <v>74</v>
      </c>
      <c r="BL120" t="s">
        <v>74</v>
      </c>
      <c r="BM120" t="s">
        <v>74</v>
      </c>
      <c r="BN120" t="s">
        <v>74</v>
      </c>
      <c r="BO120" t="s">
        <v>74</v>
      </c>
      <c r="BP120" t="s">
        <v>74</v>
      </c>
      <c r="BQ120" t="s">
        <v>74</v>
      </c>
      <c r="BR120" t="s">
        <v>74</v>
      </c>
      <c r="BS120" t="s">
        <v>1694</v>
      </c>
      <c r="BT120" t="str">
        <f>HYPERLINK("https%3A%2F%2Fwww.webofscience.com%2Fwos%2Fwoscc%2Ffull-record%2FWOS:000398645000012","View Full Record in Web of Science")</f>
        <v>View Full Record in Web of Science</v>
      </c>
    </row>
    <row r="121" spans="1:72" x14ac:dyDescent="0.15">
      <c r="A121" t="s">
        <v>252</v>
      </c>
      <c r="B121" t="s">
        <v>1695</v>
      </c>
      <c r="C121" t="s">
        <v>74</v>
      </c>
      <c r="D121" t="s">
        <v>1696</v>
      </c>
      <c r="E121" t="s">
        <v>74</v>
      </c>
      <c r="F121" t="s">
        <v>1697</v>
      </c>
      <c r="G121" t="s">
        <v>74</v>
      </c>
      <c r="H121" t="s">
        <v>74</v>
      </c>
      <c r="I121" t="s">
        <v>1698</v>
      </c>
      <c r="J121" t="s">
        <v>1699</v>
      </c>
      <c r="K121" t="s">
        <v>1674</v>
      </c>
      <c r="L121" t="s">
        <v>74</v>
      </c>
      <c r="M121" t="s">
        <v>74</v>
      </c>
      <c r="N121" t="s">
        <v>74</v>
      </c>
      <c r="O121" t="s">
        <v>1700</v>
      </c>
      <c r="P121" t="s">
        <v>1701</v>
      </c>
      <c r="Q121" t="s">
        <v>1702</v>
      </c>
      <c r="R121" t="s">
        <v>1703</v>
      </c>
      <c r="S121" t="s">
        <v>1704</v>
      </c>
      <c r="T121" t="s">
        <v>74</v>
      </c>
      <c r="U121" t="s">
        <v>74</v>
      </c>
      <c r="V121" t="s">
        <v>1705</v>
      </c>
      <c r="W121" t="s">
        <v>74</v>
      </c>
      <c r="X121" t="s">
        <v>74</v>
      </c>
      <c r="Y121" t="s">
        <v>74</v>
      </c>
      <c r="Z121" t="s">
        <v>74</v>
      </c>
      <c r="AA121" t="s">
        <v>1706</v>
      </c>
      <c r="AB121" t="s">
        <v>1707</v>
      </c>
      <c r="AC121" t="s">
        <v>74</v>
      </c>
      <c r="AD121" t="s">
        <v>74</v>
      </c>
      <c r="AE121" t="s">
        <v>74</v>
      </c>
      <c r="AF121" t="s">
        <v>74</v>
      </c>
      <c r="AG121" t="s">
        <v>74</v>
      </c>
      <c r="AH121" t="s">
        <v>74</v>
      </c>
      <c r="AI121" t="s">
        <v>74</v>
      </c>
      <c r="AJ121" t="s">
        <v>74</v>
      </c>
      <c r="AK121" t="s">
        <v>74</v>
      </c>
      <c r="AL121" t="s">
        <v>74</v>
      </c>
      <c r="AM121" t="s">
        <v>74</v>
      </c>
      <c r="AN121" t="s">
        <v>74</v>
      </c>
      <c r="AO121" t="s">
        <v>1682</v>
      </c>
      <c r="AP121" t="s">
        <v>1683</v>
      </c>
      <c r="AQ121" t="s">
        <v>74</v>
      </c>
      <c r="AR121" t="s">
        <v>74</v>
      </c>
      <c r="AS121" t="s">
        <v>74</v>
      </c>
      <c r="AT121" t="s">
        <v>74</v>
      </c>
      <c r="AU121">
        <v>2017</v>
      </c>
      <c r="AV121" t="s">
        <v>1708</v>
      </c>
      <c r="AW121" t="s">
        <v>1709</v>
      </c>
      <c r="AX121" t="s">
        <v>74</v>
      </c>
      <c r="AY121" t="s">
        <v>74</v>
      </c>
      <c r="AZ121" t="s">
        <v>74</v>
      </c>
      <c r="BA121" t="s">
        <v>74</v>
      </c>
      <c r="BB121">
        <v>179</v>
      </c>
      <c r="BC121">
        <v>187</v>
      </c>
      <c r="BD121" t="s">
        <v>74</v>
      </c>
      <c r="BE121" t="s">
        <v>1710</v>
      </c>
      <c r="BF121" t="str">
        <f>HYPERLINK("http://dx.doi.org/10.5194/isprs-annals-IV-4-W4-179-2017","http://dx.doi.org/10.5194/isprs-annals-IV-4-W4-179-2017")</f>
        <v>http://dx.doi.org/10.5194/isprs-annals-IV-4-W4-179-2017</v>
      </c>
      <c r="BG121" t="s">
        <v>74</v>
      </c>
      <c r="BH121" t="s">
        <v>74</v>
      </c>
      <c r="BI121" t="s">
        <v>74</v>
      </c>
      <c r="BJ121" t="s">
        <v>74</v>
      </c>
      <c r="BK121" t="s">
        <v>74</v>
      </c>
      <c r="BL121" t="s">
        <v>74</v>
      </c>
      <c r="BM121" t="s">
        <v>74</v>
      </c>
      <c r="BN121" t="s">
        <v>74</v>
      </c>
      <c r="BO121" t="s">
        <v>74</v>
      </c>
      <c r="BP121" t="s">
        <v>74</v>
      </c>
      <c r="BQ121" t="s">
        <v>74</v>
      </c>
      <c r="BR121" t="s">
        <v>74</v>
      </c>
      <c r="BS121" t="s">
        <v>1711</v>
      </c>
      <c r="BT121" t="str">
        <f>HYPERLINK("https%3A%2F%2Fwww.webofscience.com%2Fwos%2Fwoscc%2Ffull-record%2FWOS:000568997100028","View Full Record in Web of Science")</f>
        <v>View Full Record in Web of Science</v>
      </c>
    </row>
    <row r="122" spans="1:72" x14ac:dyDescent="0.15">
      <c r="A122" t="s">
        <v>72</v>
      </c>
      <c r="B122" t="s">
        <v>1712</v>
      </c>
      <c r="C122" t="s">
        <v>74</v>
      </c>
      <c r="D122" t="s">
        <v>74</v>
      </c>
      <c r="E122" t="s">
        <v>74</v>
      </c>
      <c r="F122" t="s">
        <v>1713</v>
      </c>
      <c r="G122" t="s">
        <v>74</v>
      </c>
      <c r="H122" t="s">
        <v>74</v>
      </c>
      <c r="I122" t="s">
        <v>1714</v>
      </c>
      <c r="J122" t="s">
        <v>1715</v>
      </c>
      <c r="K122" t="s">
        <v>74</v>
      </c>
      <c r="L122" t="s">
        <v>74</v>
      </c>
      <c r="M122" t="s">
        <v>74</v>
      </c>
      <c r="N122" t="s">
        <v>74</v>
      </c>
      <c r="O122" t="s">
        <v>74</v>
      </c>
      <c r="P122" t="s">
        <v>74</v>
      </c>
      <c r="Q122" t="s">
        <v>74</v>
      </c>
      <c r="R122" t="s">
        <v>74</v>
      </c>
      <c r="S122" t="s">
        <v>74</v>
      </c>
      <c r="T122" t="s">
        <v>74</v>
      </c>
      <c r="U122" t="s">
        <v>74</v>
      </c>
      <c r="V122" t="s">
        <v>1716</v>
      </c>
      <c r="W122" t="s">
        <v>74</v>
      </c>
      <c r="X122" t="s">
        <v>74</v>
      </c>
      <c r="Y122" t="s">
        <v>74</v>
      </c>
      <c r="Z122" t="s">
        <v>74</v>
      </c>
      <c r="AA122" t="s">
        <v>1717</v>
      </c>
      <c r="AB122" t="s">
        <v>1718</v>
      </c>
      <c r="AC122" t="s">
        <v>74</v>
      </c>
      <c r="AD122" t="s">
        <v>74</v>
      </c>
      <c r="AE122" t="s">
        <v>74</v>
      </c>
      <c r="AF122" t="s">
        <v>74</v>
      </c>
      <c r="AG122" t="s">
        <v>74</v>
      </c>
      <c r="AH122" t="s">
        <v>74</v>
      </c>
      <c r="AI122" t="s">
        <v>74</v>
      </c>
      <c r="AJ122" t="s">
        <v>74</v>
      </c>
      <c r="AK122" t="s">
        <v>74</v>
      </c>
      <c r="AL122" t="s">
        <v>74</v>
      </c>
      <c r="AM122" t="s">
        <v>74</v>
      </c>
      <c r="AN122" t="s">
        <v>74</v>
      </c>
      <c r="AO122" t="s">
        <v>1719</v>
      </c>
      <c r="AP122" t="s">
        <v>1720</v>
      </c>
      <c r="AQ122" t="s">
        <v>74</v>
      </c>
      <c r="AR122" t="s">
        <v>74</v>
      </c>
      <c r="AS122" t="s">
        <v>74</v>
      </c>
      <c r="AT122" t="s">
        <v>74</v>
      </c>
      <c r="AU122">
        <v>2017</v>
      </c>
      <c r="AV122">
        <v>2017</v>
      </c>
      <c r="AW122" t="s">
        <v>74</v>
      </c>
      <c r="AX122" t="s">
        <v>74</v>
      </c>
      <c r="AY122" t="s">
        <v>74</v>
      </c>
      <c r="AZ122" t="s">
        <v>74</v>
      </c>
      <c r="BA122" t="s">
        <v>74</v>
      </c>
      <c r="BB122" t="s">
        <v>74</v>
      </c>
      <c r="BC122" t="s">
        <v>74</v>
      </c>
      <c r="BD122">
        <v>4820905</v>
      </c>
      <c r="BE122" t="s">
        <v>1721</v>
      </c>
      <c r="BF122" t="str">
        <f>HYPERLINK("http://dx.doi.org/10.1155/2017/4820905","http://dx.doi.org/10.1155/2017/4820905")</f>
        <v>http://dx.doi.org/10.1155/2017/4820905</v>
      </c>
      <c r="BG122" t="s">
        <v>74</v>
      </c>
      <c r="BH122" t="s">
        <v>74</v>
      </c>
      <c r="BI122" t="s">
        <v>74</v>
      </c>
      <c r="BJ122" t="s">
        <v>74</v>
      </c>
      <c r="BK122" t="s">
        <v>74</v>
      </c>
      <c r="BL122" t="s">
        <v>74</v>
      </c>
      <c r="BM122" t="s">
        <v>74</v>
      </c>
      <c r="BN122" t="s">
        <v>74</v>
      </c>
      <c r="BO122" t="s">
        <v>74</v>
      </c>
      <c r="BP122" t="s">
        <v>74</v>
      </c>
      <c r="BQ122" t="s">
        <v>74</v>
      </c>
      <c r="BR122" t="s">
        <v>74</v>
      </c>
      <c r="BS122" t="s">
        <v>1722</v>
      </c>
      <c r="BT122" t="str">
        <f>HYPERLINK("https%3A%2F%2Fwww.webofscience.com%2Fwos%2Fwoscc%2Ffull-record%2FWOS:000416944100001","View Full Record in Web of Science")</f>
        <v>View Full Record in Web of Science</v>
      </c>
    </row>
    <row r="123" spans="1:72" x14ac:dyDescent="0.15">
      <c r="A123" t="s">
        <v>72</v>
      </c>
      <c r="B123" t="s">
        <v>1723</v>
      </c>
      <c r="C123" t="s">
        <v>74</v>
      </c>
      <c r="D123" t="s">
        <v>74</v>
      </c>
      <c r="E123" t="s">
        <v>74</v>
      </c>
      <c r="F123" t="s">
        <v>1724</v>
      </c>
      <c r="G123" t="s">
        <v>74</v>
      </c>
      <c r="H123" t="s">
        <v>74</v>
      </c>
      <c r="I123" t="s">
        <v>1725</v>
      </c>
      <c r="J123" t="s">
        <v>961</v>
      </c>
      <c r="K123" t="s">
        <v>74</v>
      </c>
      <c r="L123" t="s">
        <v>74</v>
      </c>
      <c r="M123" t="s">
        <v>74</v>
      </c>
      <c r="N123" t="s">
        <v>74</v>
      </c>
      <c r="O123" t="s">
        <v>74</v>
      </c>
      <c r="P123" t="s">
        <v>74</v>
      </c>
      <c r="Q123" t="s">
        <v>74</v>
      </c>
      <c r="R123" t="s">
        <v>74</v>
      </c>
      <c r="S123" t="s">
        <v>74</v>
      </c>
      <c r="T123" t="s">
        <v>74</v>
      </c>
      <c r="U123" t="s">
        <v>74</v>
      </c>
      <c r="V123" t="s">
        <v>1726</v>
      </c>
      <c r="W123" t="s">
        <v>74</v>
      </c>
      <c r="X123" t="s">
        <v>74</v>
      </c>
      <c r="Y123" t="s">
        <v>74</v>
      </c>
      <c r="Z123" t="s">
        <v>74</v>
      </c>
      <c r="AA123" t="s">
        <v>1727</v>
      </c>
      <c r="AB123" t="s">
        <v>1728</v>
      </c>
      <c r="AC123" t="s">
        <v>74</v>
      </c>
      <c r="AD123" t="s">
        <v>74</v>
      </c>
      <c r="AE123" t="s">
        <v>74</v>
      </c>
      <c r="AF123" t="s">
        <v>74</v>
      </c>
      <c r="AG123" t="s">
        <v>74</v>
      </c>
      <c r="AH123" t="s">
        <v>74</v>
      </c>
      <c r="AI123" t="s">
        <v>74</v>
      </c>
      <c r="AJ123" t="s">
        <v>74</v>
      </c>
      <c r="AK123" t="s">
        <v>74</v>
      </c>
      <c r="AL123" t="s">
        <v>74</v>
      </c>
      <c r="AM123" t="s">
        <v>74</v>
      </c>
      <c r="AN123" t="s">
        <v>74</v>
      </c>
      <c r="AO123" t="s">
        <v>965</v>
      </c>
      <c r="AP123" t="s">
        <v>966</v>
      </c>
      <c r="AQ123" t="s">
        <v>74</v>
      </c>
      <c r="AR123" t="s">
        <v>74</v>
      </c>
      <c r="AS123" t="s">
        <v>74</v>
      </c>
      <c r="AT123" t="s">
        <v>190</v>
      </c>
      <c r="AU123">
        <v>2016</v>
      </c>
      <c r="AV123">
        <v>59</v>
      </c>
      <c r="AW123">
        <v>4</v>
      </c>
      <c r="AX123" t="s">
        <v>74</v>
      </c>
      <c r="AY123" t="s">
        <v>74</v>
      </c>
      <c r="AZ123" t="s">
        <v>74</v>
      </c>
      <c r="BA123" t="s">
        <v>74</v>
      </c>
      <c r="BB123">
        <v>731</v>
      </c>
      <c r="BC123">
        <v>745</v>
      </c>
      <c r="BD123" t="s">
        <v>74</v>
      </c>
      <c r="BE123" t="s">
        <v>1729</v>
      </c>
      <c r="BF123" t="str">
        <f>HYPERLINK("http://dx.doi.org/10.1007/s11430-015-5225-0","http://dx.doi.org/10.1007/s11430-015-5225-0")</f>
        <v>http://dx.doi.org/10.1007/s11430-015-5225-0</v>
      </c>
      <c r="BG123" t="s">
        <v>74</v>
      </c>
      <c r="BH123" t="s">
        <v>74</v>
      </c>
      <c r="BI123" t="s">
        <v>74</v>
      </c>
      <c r="BJ123" t="s">
        <v>74</v>
      </c>
      <c r="BK123" t="s">
        <v>74</v>
      </c>
      <c r="BL123" t="s">
        <v>74</v>
      </c>
      <c r="BM123" t="s">
        <v>74</v>
      </c>
      <c r="BN123" t="s">
        <v>74</v>
      </c>
      <c r="BO123" t="s">
        <v>74</v>
      </c>
      <c r="BP123" t="s">
        <v>74</v>
      </c>
      <c r="BQ123" t="s">
        <v>74</v>
      </c>
      <c r="BR123" t="s">
        <v>74</v>
      </c>
      <c r="BS123" t="s">
        <v>1730</v>
      </c>
      <c r="BT123" t="str">
        <f>HYPERLINK("https%3A%2F%2Fwww.webofscience.com%2Fwos%2Fwoscc%2Ffull-record%2FWOS:000372544800006","View Full Record in Web of Science")</f>
        <v>View Full Record in Web of Science</v>
      </c>
    </row>
    <row r="124" spans="1:72" x14ac:dyDescent="0.15">
      <c r="A124" t="s">
        <v>252</v>
      </c>
      <c r="B124" t="s">
        <v>1731</v>
      </c>
      <c r="C124" t="s">
        <v>74</v>
      </c>
      <c r="D124" t="s">
        <v>1732</v>
      </c>
      <c r="E124" t="s">
        <v>74</v>
      </c>
      <c r="F124" t="s">
        <v>1733</v>
      </c>
      <c r="G124" t="s">
        <v>74</v>
      </c>
      <c r="H124" t="s">
        <v>74</v>
      </c>
      <c r="I124" t="s">
        <v>1734</v>
      </c>
      <c r="J124" t="s">
        <v>1735</v>
      </c>
      <c r="K124" t="s">
        <v>1736</v>
      </c>
      <c r="L124" t="s">
        <v>74</v>
      </c>
      <c r="M124" t="s">
        <v>74</v>
      </c>
      <c r="N124" t="s">
        <v>74</v>
      </c>
      <c r="O124" t="s">
        <v>1737</v>
      </c>
      <c r="P124" t="s">
        <v>1738</v>
      </c>
      <c r="Q124" t="s">
        <v>1739</v>
      </c>
      <c r="R124" t="s">
        <v>1703</v>
      </c>
      <c r="S124" t="s">
        <v>74</v>
      </c>
      <c r="T124" t="s">
        <v>74</v>
      </c>
      <c r="U124" t="s">
        <v>74</v>
      </c>
      <c r="V124" t="s">
        <v>1740</v>
      </c>
      <c r="W124" t="s">
        <v>74</v>
      </c>
      <c r="X124" t="s">
        <v>74</v>
      </c>
      <c r="Y124" t="s">
        <v>74</v>
      </c>
      <c r="Z124" t="s">
        <v>74</v>
      </c>
      <c r="AA124" t="s">
        <v>1741</v>
      </c>
      <c r="AB124" t="s">
        <v>1742</v>
      </c>
      <c r="AC124" t="s">
        <v>74</v>
      </c>
      <c r="AD124" t="s">
        <v>74</v>
      </c>
      <c r="AE124" t="s">
        <v>74</v>
      </c>
      <c r="AF124" t="s">
        <v>74</v>
      </c>
      <c r="AG124" t="s">
        <v>74</v>
      </c>
      <c r="AH124" t="s">
        <v>74</v>
      </c>
      <c r="AI124" t="s">
        <v>74</v>
      </c>
      <c r="AJ124" t="s">
        <v>74</v>
      </c>
      <c r="AK124" t="s">
        <v>74</v>
      </c>
      <c r="AL124" t="s">
        <v>74</v>
      </c>
      <c r="AM124" t="s">
        <v>74</v>
      </c>
      <c r="AN124" t="s">
        <v>74</v>
      </c>
      <c r="AO124" t="s">
        <v>1743</v>
      </c>
      <c r="AP124" t="s">
        <v>74</v>
      </c>
      <c r="AQ124" t="s">
        <v>74</v>
      </c>
      <c r="AR124" t="s">
        <v>74</v>
      </c>
      <c r="AS124" t="s">
        <v>74</v>
      </c>
      <c r="AT124" t="s">
        <v>74</v>
      </c>
      <c r="AU124">
        <v>2016</v>
      </c>
      <c r="AV124">
        <v>41</v>
      </c>
      <c r="AW124" t="s">
        <v>1744</v>
      </c>
      <c r="AX124" t="s">
        <v>74</v>
      </c>
      <c r="AY124" t="s">
        <v>74</v>
      </c>
      <c r="AZ124" t="s">
        <v>74</v>
      </c>
      <c r="BA124" t="s">
        <v>74</v>
      </c>
      <c r="BB124">
        <v>525</v>
      </c>
      <c r="BC124">
        <v>530</v>
      </c>
      <c r="BD124" t="s">
        <v>74</v>
      </c>
      <c r="BE124" t="s">
        <v>1745</v>
      </c>
      <c r="BF124" t="str">
        <f>HYPERLINK("http://dx.doi.org/10.5194/isprsarchives-XLI-B8-525-2016","http://dx.doi.org/10.5194/isprsarchives-XLI-B8-525-2016")</f>
        <v>http://dx.doi.org/10.5194/isprsarchives-XLI-B8-525-2016</v>
      </c>
      <c r="BG124" t="s">
        <v>74</v>
      </c>
      <c r="BH124" t="s">
        <v>74</v>
      </c>
      <c r="BI124" t="s">
        <v>74</v>
      </c>
      <c r="BJ124" t="s">
        <v>74</v>
      </c>
      <c r="BK124" t="s">
        <v>74</v>
      </c>
      <c r="BL124" t="s">
        <v>74</v>
      </c>
      <c r="BM124" t="s">
        <v>74</v>
      </c>
      <c r="BN124" t="s">
        <v>74</v>
      </c>
      <c r="BO124" t="s">
        <v>74</v>
      </c>
      <c r="BP124" t="s">
        <v>74</v>
      </c>
      <c r="BQ124" t="s">
        <v>74</v>
      </c>
      <c r="BR124" t="s">
        <v>74</v>
      </c>
      <c r="BS124" t="s">
        <v>1746</v>
      </c>
      <c r="BT124" t="str">
        <f>HYPERLINK("https%3A%2F%2Fwww.webofscience.com%2Fwos%2Fwoscc%2Ffull-record%2FWOS:000393156000089","View Full Record in Web of Science")</f>
        <v>View Full Record in Web of Science</v>
      </c>
    </row>
    <row r="125" spans="1:72" x14ac:dyDescent="0.15">
      <c r="A125" t="s">
        <v>72</v>
      </c>
      <c r="B125" t="s">
        <v>1747</v>
      </c>
      <c r="C125" t="s">
        <v>74</v>
      </c>
      <c r="D125" t="s">
        <v>74</v>
      </c>
      <c r="E125" t="s">
        <v>74</v>
      </c>
      <c r="F125" t="s">
        <v>1748</v>
      </c>
      <c r="G125" t="s">
        <v>74</v>
      </c>
      <c r="H125" t="s">
        <v>74</v>
      </c>
      <c r="I125" t="s">
        <v>1749</v>
      </c>
      <c r="J125" t="s">
        <v>1750</v>
      </c>
      <c r="K125" t="s">
        <v>74</v>
      </c>
      <c r="L125" t="s">
        <v>74</v>
      </c>
      <c r="M125" t="s">
        <v>74</v>
      </c>
      <c r="N125" t="s">
        <v>74</v>
      </c>
      <c r="O125" t="s">
        <v>74</v>
      </c>
      <c r="P125" t="s">
        <v>74</v>
      </c>
      <c r="Q125" t="s">
        <v>74</v>
      </c>
      <c r="R125" t="s">
        <v>74</v>
      </c>
      <c r="S125" t="s">
        <v>74</v>
      </c>
      <c r="T125" t="s">
        <v>74</v>
      </c>
      <c r="U125" t="s">
        <v>74</v>
      </c>
      <c r="V125" t="s">
        <v>1751</v>
      </c>
      <c r="W125" t="s">
        <v>74</v>
      </c>
      <c r="X125" t="s">
        <v>74</v>
      </c>
      <c r="Y125" t="s">
        <v>74</v>
      </c>
      <c r="Z125" t="s">
        <v>74</v>
      </c>
      <c r="AA125" t="s">
        <v>74</v>
      </c>
      <c r="AB125" t="s">
        <v>1752</v>
      </c>
      <c r="AC125" t="s">
        <v>74</v>
      </c>
      <c r="AD125" t="s">
        <v>74</v>
      </c>
      <c r="AE125" t="s">
        <v>74</v>
      </c>
      <c r="AF125" t="s">
        <v>74</v>
      </c>
      <c r="AG125" t="s">
        <v>74</v>
      </c>
      <c r="AH125" t="s">
        <v>74</v>
      </c>
      <c r="AI125" t="s">
        <v>74</v>
      </c>
      <c r="AJ125" t="s">
        <v>74</v>
      </c>
      <c r="AK125" t="s">
        <v>74</v>
      </c>
      <c r="AL125" t="s">
        <v>74</v>
      </c>
      <c r="AM125" t="s">
        <v>74</v>
      </c>
      <c r="AN125" t="s">
        <v>74</v>
      </c>
      <c r="AO125" t="s">
        <v>1753</v>
      </c>
      <c r="AP125" t="s">
        <v>74</v>
      </c>
      <c r="AQ125" t="s">
        <v>74</v>
      </c>
      <c r="AR125" t="s">
        <v>74</v>
      </c>
      <c r="AS125" t="s">
        <v>74</v>
      </c>
      <c r="AT125" t="s">
        <v>1754</v>
      </c>
      <c r="AU125">
        <v>2015</v>
      </c>
      <c r="AV125">
        <v>23</v>
      </c>
      <c r="AW125">
        <v>24</v>
      </c>
      <c r="AX125" t="s">
        <v>74</v>
      </c>
      <c r="AY125" t="s">
        <v>74</v>
      </c>
      <c r="AZ125" t="s">
        <v>74</v>
      </c>
      <c r="BA125" t="s">
        <v>74</v>
      </c>
      <c r="BB125" t="s">
        <v>1755</v>
      </c>
      <c r="BC125" t="s">
        <v>1756</v>
      </c>
      <c r="BD125" t="s">
        <v>74</v>
      </c>
      <c r="BE125" t="s">
        <v>1757</v>
      </c>
      <c r="BF125" t="str">
        <f>HYPERLINK("http://dx.doi.org/10.1364/OE.23.0A1442","http://dx.doi.org/10.1364/OE.23.0A1442")</f>
        <v>http://dx.doi.org/10.1364/OE.23.0A1442</v>
      </c>
      <c r="BG125" t="s">
        <v>74</v>
      </c>
      <c r="BH125" t="s">
        <v>74</v>
      </c>
      <c r="BI125" t="s">
        <v>74</v>
      </c>
      <c r="BJ125" t="s">
        <v>74</v>
      </c>
      <c r="BK125" t="s">
        <v>74</v>
      </c>
      <c r="BL125" t="s">
        <v>74</v>
      </c>
      <c r="BM125" t="s">
        <v>74</v>
      </c>
      <c r="BN125">
        <v>26698793</v>
      </c>
      <c r="BO125" t="s">
        <v>74</v>
      </c>
      <c r="BP125" t="s">
        <v>74</v>
      </c>
      <c r="BQ125" t="s">
        <v>74</v>
      </c>
      <c r="BR125" t="s">
        <v>74</v>
      </c>
      <c r="BS125" t="s">
        <v>1758</v>
      </c>
      <c r="BT125" t="str">
        <f>HYPERLINK("https%3A%2F%2Fwww.webofscience.com%2Fwos%2Fwoscc%2Ffull-record%2FWOS:000366614100009","View Full Record in Web of Science")</f>
        <v>View Full Record in Web of Science</v>
      </c>
    </row>
    <row r="126" spans="1:72" x14ac:dyDescent="0.15">
      <c r="A126" t="s">
        <v>72</v>
      </c>
      <c r="B126" t="s">
        <v>1759</v>
      </c>
      <c r="C126" t="s">
        <v>74</v>
      </c>
      <c r="D126" t="s">
        <v>74</v>
      </c>
      <c r="E126" t="s">
        <v>74</v>
      </c>
      <c r="F126" t="s">
        <v>1760</v>
      </c>
      <c r="G126" t="s">
        <v>74</v>
      </c>
      <c r="H126" t="s">
        <v>74</v>
      </c>
      <c r="I126" t="s">
        <v>1761</v>
      </c>
      <c r="J126" t="s">
        <v>450</v>
      </c>
      <c r="K126" t="s">
        <v>74</v>
      </c>
      <c r="L126" t="s">
        <v>74</v>
      </c>
      <c r="M126" t="s">
        <v>74</v>
      </c>
      <c r="N126" t="s">
        <v>74</v>
      </c>
      <c r="O126" t="s">
        <v>74</v>
      </c>
      <c r="P126" t="s">
        <v>74</v>
      </c>
      <c r="Q126" t="s">
        <v>74</v>
      </c>
      <c r="R126" t="s">
        <v>74</v>
      </c>
      <c r="S126" t="s">
        <v>74</v>
      </c>
      <c r="T126" t="s">
        <v>74</v>
      </c>
      <c r="U126" t="s">
        <v>74</v>
      </c>
      <c r="V126" t="s">
        <v>1762</v>
      </c>
      <c r="W126" t="s">
        <v>74</v>
      </c>
      <c r="X126" t="s">
        <v>74</v>
      </c>
      <c r="Y126" t="s">
        <v>74</v>
      </c>
      <c r="Z126" t="s">
        <v>74</v>
      </c>
      <c r="AA126" t="s">
        <v>1763</v>
      </c>
      <c r="AB126" t="s">
        <v>1764</v>
      </c>
      <c r="AC126" t="s">
        <v>74</v>
      </c>
      <c r="AD126" t="s">
        <v>74</v>
      </c>
      <c r="AE126" t="s">
        <v>74</v>
      </c>
      <c r="AF126" t="s">
        <v>74</v>
      </c>
      <c r="AG126" t="s">
        <v>74</v>
      </c>
      <c r="AH126" t="s">
        <v>74</v>
      </c>
      <c r="AI126" t="s">
        <v>74</v>
      </c>
      <c r="AJ126" t="s">
        <v>74</v>
      </c>
      <c r="AK126" t="s">
        <v>74</v>
      </c>
      <c r="AL126" t="s">
        <v>74</v>
      </c>
      <c r="AM126" t="s">
        <v>74</v>
      </c>
      <c r="AN126" t="s">
        <v>74</v>
      </c>
      <c r="AO126" t="s">
        <v>454</v>
      </c>
      <c r="AP126" t="s">
        <v>455</v>
      </c>
      <c r="AQ126" t="s">
        <v>74</v>
      </c>
      <c r="AR126" t="s">
        <v>74</v>
      </c>
      <c r="AS126" t="s">
        <v>74</v>
      </c>
      <c r="AT126" t="s">
        <v>199</v>
      </c>
      <c r="AU126">
        <v>2015</v>
      </c>
      <c r="AV126">
        <v>12</v>
      </c>
      <c r="AW126">
        <v>5</v>
      </c>
      <c r="AX126" t="s">
        <v>74</v>
      </c>
      <c r="AY126" t="s">
        <v>74</v>
      </c>
      <c r="AZ126" t="s">
        <v>74</v>
      </c>
      <c r="BA126" t="s">
        <v>74</v>
      </c>
      <c r="BB126">
        <v>1136</v>
      </c>
      <c r="BC126">
        <v>1140</v>
      </c>
      <c r="BD126" t="s">
        <v>74</v>
      </c>
      <c r="BE126" t="s">
        <v>1765</v>
      </c>
      <c r="BF126" t="str">
        <f>HYPERLINK("http://dx.doi.org/10.1109/LGRS.2014.2386275","http://dx.doi.org/10.1109/LGRS.2014.2386275")</f>
        <v>http://dx.doi.org/10.1109/LGRS.2014.2386275</v>
      </c>
      <c r="BG126" t="s">
        <v>74</v>
      </c>
      <c r="BH126" t="s">
        <v>74</v>
      </c>
      <c r="BI126" t="s">
        <v>74</v>
      </c>
      <c r="BJ126" t="s">
        <v>74</v>
      </c>
      <c r="BK126" t="s">
        <v>74</v>
      </c>
      <c r="BL126" t="s">
        <v>74</v>
      </c>
      <c r="BM126" t="s">
        <v>74</v>
      </c>
      <c r="BN126" t="s">
        <v>74</v>
      </c>
      <c r="BO126" t="s">
        <v>74</v>
      </c>
      <c r="BP126" t="s">
        <v>74</v>
      </c>
      <c r="BQ126" t="s">
        <v>74</v>
      </c>
      <c r="BR126" t="s">
        <v>74</v>
      </c>
      <c r="BS126" t="s">
        <v>1766</v>
      </c>
      <c r="BT126" t="str">
        <f>HYPERLINK("https%3A%2F%2Fwww.webofscience.com%2Fwos%2Fwoscc%2Ffull-record%2FWOS:000351412200044","View Full Record in Web of Science")</f>
        <v>View Full Record in Web of Science</v>
      </c>
    </row>
    <row r="127" spans="1:72" x14ac:dyDescent="0.15">
      <c r="A127" t="s">
        <v>72</v>
      </c>
      <c r="B127" t="s">
        <v>1767</v>
      </c>
      <c r="C127" t="s">
        <v>74</v>
      </c>
      <c r="D127" t="s">
        <v>74</v>
      </c>
      <c r="E127" t="s">
        <v>74</v>
      </c>
      <c r="F127" t="s">
        <v>1768</v>
      </c>
      <c r="G127" t="s">
        <v>74</v>
      </c>
      <c r="H127" t="s">
        <v>74</v>
      </c>
      <c r="I127" t="s">
        <v>1769</v>
      </c>
      <c r="J127" t="s">
        <v>122</v>
      </c>
      <c r="K127" t="s">
        <v>74</v>
      </c>
      <c r="L127" t="s">
        <v>74</v>
      </c>
      <c r="M127" t="s">
        <v>74</v>
      </c>
      <c r="N127" t="s">
        <v>74</v>
      </c>
      <c r="O127" t="s">
        <v>74</v>
      </c>
      <c r="P127" t="s">
        <v>74</v>
      </c>
      <c r="Q127" t="s">
        <v>74</v>
      </c>
      <c r="R127" t="s">
        <v>74</v>
      </c>
      <c r="S127" t="s">
        <v>74</v>
      </c>
      <c r="T127" t="s">
        <v>74</v>
      </c>
      <c r="U127" t="s">
        <v>74</v>
      </c>
      <c r="V127" t="s">
        <v>1770</v>
      </c>
      <c r="W127" t="s">
        <v>74</v>
      </c>
      <c r="X127" t="s">
        <v>74</v>
      </c>
      <c r="Y127" t="s">
        <v>74</v>
      </c>
      <c r="Z127" t="s">
        <v>74</v>
      </c>
      <c r="AA127" t="s">
        <v>1771</v>
      </c>
      <c r="AB127" t="s">
        <v>1772</v>
      </c>
      <c r="AC127" t="s">
        <v>74</v>
      </c>
      <c r="AD127" t="s">
        <v>74</v>
      </c>
      <c r="AE127" t="s">
        <v>74</v>
      </c>
      <c r="AF127" t="s">
        <v>74</v>
      </c>
      <c r="AG127" t="s">
        <v>74</v>
      </c>
      <c r="AH127" t="s">
        <v>74</v>
      </c>
      <c r="AI127" t="s">
        <v>74</v>
      </c>
      <c r="AJ127" t="s">
        <v>74</v>
      </c>
      <c r="AK127" t="s">
        <v>74</v>
      </c>
      <c r="AL127" t="s">
        <v>74</v>
      </c>
      <c r="AM127" t="s">
        <v>74</v>
      </c>
      <c r="AN127" t="s">
        <v>74</v>
      </c>
      <c r="AO127" t="s">
        <v>126</v>
      </c>
      <c r="AP127" t="s">
        <v>127</v>
      </c>
      <c r="AQ127" t="s">
        <v>74</v>
      </c>
      <c r="AR127" t="s">
        <v>74</v>
      </c>
      <c r="AS127" t="s">
        <v>74</v>
      </c>
      <c r="AT127" t="s">
        <v>405</v>
      </c>
      <c r="AU127">
        <v>2015</v>
      </c>
      <c r="AV127">
        <v>156</v>
      </c>
      <c r="AW127" t="s">
        <v>74</v>
      </c>
      <c r="AX127" t="s">
        <v>74</v>
      </c>
      <c r="AY127" t="s">
        <v>74</v>
      </c>
      <c r="AZ127" t="s">
        <v>74</v>
      </c>
      <c r="BA127" t="s">
        <v>74</v>
      </c>
      <c r="BB127">
        <v>403</v>
      </c>
      <c r="BC127">
        <v>417</v>
      </c>
      <c r="BD127" t="s">
        <v>74</v>
      </c>
      <c r="BE127" t="s">
        <v>1773</v>
      </c>
      <c r="BF127" t="str">
        <f>HYPERLINK("http://dx.doi.org/10.1016/j.rse.2014.09.026","http://dx.doi.org/10.1016/j.rse.2014.09.026")</f>
        <v>http://dx.doi.org/10.1016/j.rse.2014.09.026</v>
      </c>
      <c r="BG127" t="s">
        <v>74</v>
      </c>
      <c r="BH127" t="s">
        <v>74</v>
      </c>
      <c r="BI127" t="s">
        <v>74</v>
      </c>
      <c r="BJ127" t="s">
        <v>74</v>
      </c>
      <c r="BK127" t="s">
        <v>74</v>
      </c>
      <c r="BL127" t="s">
        <v>74</v>
      </c>
      <c r="BM127" t="s">
        <v>74</v>
      </c>
      <c r="BN127" t="s">
        <v>74</v>
      </c>
      <c r="BO127" t="s">
        <v>74</v>
      </c>
      <c r="BP127" t="s">
        <v>74</v>
      </c>
      <c r="BQ127" t="s">
        <v>74</v>
      </c>
      <c r="BR127" t="s">
        <v>74</v>
      </c>
      <c r="BS127" t="s">
        <v>1774</v>
      </c>
      <c r="BT127" t="str">
        <f>HYPERLINK("https%3A%2F%2Fwww.webofscience.com%2Fwos%2Fwoscc%2Ffull-record%2FWOS:000347579900033","View Full Record in Web of Science")</f>
        <v>View Full Record in Web of Science</v>
      </c>
    </row>
    <row r="128" spans="1:72" x14ac:dyDescent="0.15">
      <c r="A128" t="s">
        <v>72</v>
      </c>
      <c r="B128" t="s">
        <v>1775</v>
      </c>
      <c r="C128" t="s">
        <v>74</v>
      </c>
      <c r="D128" t="s">
        <v>74</v>
      </c>
      <c r="E128" t="s">
        <v>74</v>
      </c>
      <c r="F128" t="s">
        <v>1776</v>
      </c>
      <c r="G128" t="s">
        <v>74</v>
      </c>
      <c r="H128" t="s">
        <v>74</v>
      </c>
      <c r="I128" t="s">
        <v>1777</v>
      </c>
      <c r="J128" t="s">
        <v>1778</v>
      </c>
      <c r="K128" t="s">
        <v>74</v>
      </c>
      <c r="L128" t="s">
        <v>74</v>
      </c>
      <c r="M128" t="s">
        <v>74</v>
      </c>
      <c r="N128" t="s">
        <v>74</v>
      </c>
      <c r="O128" t="s">
        <v>74</v>
      </c>
      <c r="P128" t="s">
        <v>74</v>
      </c>
      <c r="Q128" t="s">
        <v>74</v>
      </c>
      <c r="R128" t="s">
        <v>74</v>
      </c>
      <c r="S128" t="s">
        <v>74</v>
      </c>
      <c r="T128" t="s">
        <v>74</v>
      </c>
      <c r="U128" t="s">
        <v>74</v>
      </c>
      <c r="V128" t="s">
        <v>1779</v>
      </c>
      <c r="W128" t="s">
        <v>74</v>
      </c>
      <c r="X128" t="s">
        <v>74</v>
      </c>
      <c r="Y128" t="s">
        <v>74</v>
      </c>
      <c r="Z128" t="s">
        <v>74</v>
      </c>
      <c r="AA128" t="s">
        <v>74</v>
      </c>
      <c r="AB128" t="s">
        <v>1780</v>
      </c>
      <c r="AC128" t="s">
        <v>74</v>
      </c>
      <c r="AD128" t="s">
        <v>74</v>
      </c>
      <c r="AE128" t="s">
        <v>74</v>
      </c>
      <c r="AF128" t="s">
        <v>74</v>
      </c>
      <c r="AG128" t="s">
        <v>74</v>
      </c>
      <c r="AH128" t="s">
        <v>74</v>
      </c>
      <c r="AI128" t="s">
        <v>74</v>
      </c>
      <c r="AJ128" t="s">
        <v>74</v>
      </c>
      <c r="AK128" t="s">
        <v>74</v>
      </c>
      <c r="AL128" t="s">
        <v>74</v>
      </c>
      <c r="AM128" t="s">
        <v>74</v>
      </c>
      <c r="AN128" t="s">
        <v>74</v>
      </c>
      <c r="AO128" t="s">
        <v>1781</v>
      </c>
      <c r="AP128" t="s">
        <v>1782</v>
      </c>
      <c r="AQ128" t="s">
        <v>74</v>
      </c>
      <c r="AR128" t="s">
        <v>74</v>
      </c>
      <c r="AS128" t="s">
        <v>74</v>
      </c>
      <c r="AT128" t="s">
        <v>464</v>
      </c>
      <c r="AU128">
        <v>2014</v>
      </c>
      <c r="AV128">
        <v>123</v>
      </c>
      <c r="AW128">
        <v>7</v>
      </c>
      <c r="AX128" t="s">
        <v>74</v>
      </c>
      <c r="AY128" t="s">
        <v>74</v>
      </c>
      <c r="AZ128" t="s">
        <v>74</v>
      </c>
      <c r="BA128" t="s">
        <v>74</v>
      </c>
      <c r="BB128">
        <v>1591</v>
      </c>
      <c r="BC128">
        <v>1601</v>
      </c>
      <c r="BD128" t="s">
        <v>74</v>
      </c>
      <c r="BE128" t="s">
        <v>1783</v>
      </c>
      <c r="BF128" t="str">
        <f>HYPERLINK("http://dx.doi.org/10.1007/s12040-014-0485-1","http://dx.doi.org/10.1007/s12040-014-0485-1")</f>
        <v>http://dx.doi.org/10.1007/s12040-014-0485-1</v>
      </c>
      <c r="BG128" t="s">
        <v>74</v>
      </c>
      <c r="BH128" t="s">
        <v>74</v>
      </c>
      <c r="BI128" t="s">
        <v>74</v>
      </c>
      <c r="BJ128" t="s">
        <v>74</v>
      </c>
      <c r="BK128" t="s">
        <v>74</v>
      </c>
      <c r="BL128" t="s">
        <v>74</v>
      </c>
      <c r="BM128" t="s">
        <v>74</v>
      </c>
      <c r="BN128" t="s">
        <v>74</v>
      </c>
      <c r="BO128" t="s">
        <v>74</v>
      </c>
      <c r="BP128" t="s">
        <v>74</v>
      </c>
      <c r="BQ128" t="s">
        <v>74</v>
      </c>
      <c r="BR128" t="s">
        <v>74</v>
      </c>
      <c r="BS128" t="s">
        <v>1784</v>
      </c>
      <c r="BT128" t="str">
        <f>HYPERLINK("https%3A%2F%2Fwww.webofscience.com%2Fwos%2Fwoscc%2Ffull-record%2FWOS:000343954200010","View Full Record in Web of Science")</f>
        <v>View Full Record in Web of Science</v>
      </c>
    </row>
    <row r="129" spans="1:72" x14ac:dyDescent="0.15">
      <c r="A129" t="s">
        <v>72</v>
      </c>
      <c r="B129" t="s">
        <v>1785</v>
      </c>
      <c r="C129" t="s">
        <v>74</v>
      </c>
      <c r="D129" t="s">
        <v>74</v>
      </c>
      <c r="E129" t="s">
        <v>74</v>
      </c>
      <c r="F129" t="s">
        <v>1786</v>
      </c>
      <c r="G129" t="s">
        <v>74</v>
      </c>
      <c r="H129" t="s">
        <v>74</v>
      </c>
      <c r="I129" t="s">
        <v>1787</v>
      </c>
      <c r="J129" t="s">
        <v>96</v>
      </c>
      <c r="K129" t="s">
        <v>74</v>
      </c>
      <c r="L129" t="s">
        <v>74</v>
      </c>
      <c r="M129" t="s">
        <v>74</v>
      </c>
      <c r="N129" t="s">
        <v>74</v>
      </c>
      <c r="O129" t="s">
        <v>74</v>
      </c>
      <c r="P129" t="s">
        <v>74</v>
      </c>
      <c r="Q129" t="s">
        <v>74</v>
      </c>
      <c r="R129" t="s">
        <v>74</v>
      </c>
      <c r="S129" t="s">
        <v>74</v>
      </c>
      <c r="T129" t="s">
        <v>74</v>
      </c>
      <c r="U129" t="s">
        <v>74</v>
      </c>
      <c r="V129" t="s">
        <v>1788</v>
      </c>
      <c r="W129" t="s">
        <v>74</v>
      </c>
      <c r="X129" t="s">
        <v>74</v>
      </c>
      <c r="Y129" t="s">
        <v>74</v>
      </c>
      <c r="Z129" t="s">
        <v>74</v>
      </c>
      <c r="AA129" t="s">
        <v>1789</v>
      </c>
      <c r="AB129" t="s">
        <v>74</v>
      </c>
      <c r="AC129" t="s">
        <v>74</v>
      </c>
      <c r="AD129" t="s">
        <v>74</v>
      </c>
      <c r="AE129" t="s">
        <v>74</v>
      </c>
      <c r="AF129" t="s">
        <v>74</v>
      </c>
      <c r="AG129" t="s">
        <v>74</v>
      </c>
      <c r="AH129" t="s">
        <v>74</v>
      </c>
      <c r="AI129" t="s">
        <v>74</v>
      </c>
      <c r="AJ129" t="s">
        <v>74</v>
      </c>
      <c r="AK129" t="s">
        <v>74</v>
      </c>
      <c r="AL129" t="s">
        <v>74</v>
      </c>
      <c r="AM129" t="s">
        <v>74</v>
      </c>
      <c r="AN129" t="s">
        <v>74</v>
      </c>
      <c r="AO129" t="s">
        <v>99</v>
      </c>
      <c r="AP129" t="s">
        <v>100</v>
      </c>
      <c r="AQ129" t="s">
        <v>74</v>
      </c>
      <c r="AR129" t="s">
        <v>74</v>
      </c>
      <c r="AS129" t="s">
        <v>74</v>
      </c>
      <c r="AT129" t="s">
        <v>177</v>
      </c>
      <c r="AU129">
        <v>2014</v>
      </c>
      <c r="AV129">
        <v>52</v>
      </c>
      <c r="AW129">
        <v>9</v>
      </c>
      <c r="AX129" t="s">
        <v>74</v>
      </c>
      <c r="AY129" t="s">
        <v>74</v>
      </c>
      <c r="AZ129" t="s">
        <v>74</v>
      </c>
      <c r="BA129" t="s">
        <v>74</v>
      </c>
      <c r="BB129">
        <v>5601</v>
      </c>
      <c r="BC129">
        <v>5611</v>
      </c>
      <c r="BD129" t="s">
        <v>74</v>
      </c>
      <c r="BE129" t="s">
        <v>1790</v>
      </c>
      <c r="BF129" t="str">
        <f>HYPERLINK("http://dx.doi.org/10.1109/TGRS.2013.2290996","http://dx.doi.org/10.1109/TGRS.2013.2290996")</f>
        <v>http://dx.doi.org/10.1109/TGRS.2013.2290996</v>
      </c>
      <c r="BG129" t="s">
        <v>74</v>
      </c>
      <c r="BH129" t="s">
        <v>74</v>
      </c>
      <c r="BI129" t="s">
        <v>74</v>
      </c>
      <c r="BJ129" t="s">
        <v>74</v>
      </c>
      <c r="BK129" t="s">
        <v>74</v>
      </c>
      <c r="BL129" t="s">
        <v>74</v>
      </c>
      <c r="BM129" t="s">
        <v>74</v>
      </c>
      <c r="BN129" t="s">
        <v>74</v>
      </c>
      <c r="BO129" t="s">
        <v>74</v>
      </c>
      <c r="BP129" t="s">
        <v>74</v>
      </c>
      <c r="BQ129" t="s">
        <v>74</v>
      </c>
      <c r="BR129" t="s">
        <v>74</v>
      </c>
      <c r="BS129" t="s">
        <v>1791</v>
      </c>
      <c r="BT129" t="str">
        <f>HYPERLINK("https%3A%2F%2Fwww.webofscience.com%2Fwos%2Fwoscc%2Ffull-record%2FWOS:000337171900029","View Full Record in Web of Science")</f>
        <v>View Full Record in Web of Science</v>
      </c>
    </row>
    <row r="130" spans="1:72" x14ac:dyDescent="0.15">
      <c r="A130" t="s">
        <v>72</v>
      </c>
      <c r="B130" t="s">
        <v>1792</v>
      </c>
      <c r="C130" t="s">
        <v>74</v>
      </c>
      <c r="D130" t="s">
        <v>74</v>
      </c>
      <c r="E130" t="s">
        <v>74</v>
      </c>
      <c r="F130" t="s">
        <v>1793</v>
      </c>
      <c r="G130" t="s">
        <v>74</v>
      </c>
      <c r="H130" t="s">
        <v>74</v>
      </c>
      <c r="I130" t="s">
        <v>1794</v>
      </c>
      <c r="J130" t="s">
        <v>748</v>
      </c>
      <c r="K130" t="s">
        <v>74</v>
      </c>
      <c r="L130" t="s">
        <v>74</v>
      </c>
      <c r="M130" t="s">
        <v>74</v>
      </c>
      <c r="N130" t="s">
        <v>74</v>
      </c>
      <c r="O130" t="s">
        <v>74</v>
      </c>
      <c r="P130" t="s">
        <v>74</v>
      </c>
      <c r="Q130" t="s">
        <v>74</v>
      </c>
      <c r="R130" t="s">
        <v>74</v>
      </c>
      <c r="S130" t="s">
        <v>74</v>
      </c>
      <c r="T130" t="s">
        <v>74</v>
      </c>
      <c r="U130" t="s">
        <v>74</v>
      </c>
      <c r="V130" t="s">
        <v>1795</v>
      </c>
      <c r="W130" t="s">
        <v>74</v>
      </c>
      <c r="X130" t="s">
        <v>74</v>
      </c>
      <c r="Y130" t="s">
        <v>74</v>
      </c>
      <c r="Z130" t="s">
        <v>74</v>
      </c>
      <c r="AA130" t="s">
        <v>1796</v>
      </c>
      <c r="AB130" t="s">
        <v>1797</v>
      </c>
      <c r="AC130" t="s">
        <v>74</v>
      </c>
      <c r="AD130" t="s">
        <v>74</v>
      </c>
      <c r="AE130" t="s">
        <v>74</v>
      </c>
      <c r="AF130" t="s">
        <v>74</v>
      </c>
      <c r="AG130" t="s">
        <v>74</v>
      </c>
      <c r="AH130" t="s">
        <v>74</v>
      </c>
      <c r="AI130" t="s">
        <v>74</v>
      </c>
      <c r="AJ130" t="s">
        <v>74</v>
      </c>
      <c r="AK130" t="s">
        <v>74</v>
      </c>
      <c r="AL130" t="s">
        <v>74</v>
      </c>
      <c r="AM130" t="s">
        <v>74</v>
      </c>
      <c r="AN130" t="s">
        <v>74</v>
      </c>
      <c r="AO130" t="s">
        <v>751</v>
      </c>
      <c r="AP130" t="s">
        <v>752</v>
      </c>
      <c r="AQ130" t="s">
        <v>74</v>
      </c>
      <c r="AR130" t="s">
        <v>74</v>
      </c>
      <c r="AS130" t="s">
        <v>74</v>
      </c>
      <c r="AT130" t="s">
        <v>208</v>
      </c>
      <c r="AU130">
        <v>2014</v>
      </c>
      <c r="AV130">
        <v>11</v>
      </c>
      <c r="AW130">
        <v>4</v>
      </c>
      <c r="AX130" t="s">
        <v>74</v>
      </c>
      <c r="AY130" t="s">
        <v>74</v>
      </c>
      <c r="AZ130" t="s">
        <v>74</v>
      </c>
      <c r="BA130" t="s">
        <v>74</v>
      </c>
      <c r="BB130">
        <v>825</v>
      </c>
      <c r="BC130">
        <v>837</v>
      </c>
      <c r="BD130" t="s">
        <v>74</v>
      </c>
      <c r="BE130" t="s">
        <v>1798</v>
      </c>
      <c r="BF130" t="str">
        <f>HYPERLINK("http://dx.doi.org/10.1007/s11629-014-2985-5","http://dx.doi.org/10.1007/s11629-014-2985-5")</f>
        <v>http://dx.doi.org/10.1007/s11629-014-2985-5</v>
      </c>
      <c r="BG130" t="s">
        <v>74</v>
      </c>
      <c r="BH130" t="s">
        <v>74</v>
      </c>
      <c r="BI130" t="s">
        <v>74</v>
      </c>
      <c r="BJ130" t="s">
        <v>74</v>
      </c>
      <c r="BK130" t="s">
        <v>74</v>
      </c>
      <c r="BL130" t="s">
        <v>74</v>
      </c>
      <c r="BM130" t="s">
        <v>74</v>
      </c>
      <c r="BN130" t="s">
        <v>74</v>
      </c>
      <c r="BO130" t="s">
        <v>74</v>
      </c>
      <c r="BP130" t="s">
        <v>74</v>
      </c>
      <c r="BQ130" t="s">
        <v>74</v>
      </c>
      <c r="BR130" t="s">
        <v>74</v>
      </c>
      <c r="BS130" t="s">
        <v>1799</v>
      </c>
      <c r="BT130" t="str">
        <f>HYPERLINK("https%3A%2F%2Fwww.webofscience.com%2Fwos%2Fwoscc%2Ffull-record%2FWOS:000339377000001","View Full Record in Web of Science")</f>
        <v>View Full Record in Web of Science</v>
      </c>
    </row>
    <row r="131" spans="1:72" x14ac:dyDescent="0.15">
      <c r="A131" t="s">
        <v>72</v>
      </c>
      <c r="B131" t="s">
        <v>1800</v>
      </c>
      <c r="C131" t="s">
        <v>74</v>
      </c>
      <c r="D131" t="s">
        <v>74</v>
      </c>
      <c r="E131" t="s">
        <v>74</v>
      </c>
      <c r="F131" t="s">
        <v>1801</v>
      </c>
      <c r="G131" t="s">
        <v>74</v>
      </c>
      <c r="H131" t="s">
        <v>74</v>
      </c>
      <c r="I131" t="s">
        <v>1802</v>
      </c>
      <c r="J131" t="s">
        <v>345</v>
      </c>
      <c r="K131" t="s">
        <v>74</v>
      </c>
      <c r="L131" t="s">
        <v>74</v>
      </c>
      <c r="M131" t="s">
        <v>74</v>
      </c>
      <c r="N131" t="s">
        <v>74</v>
      </c>
      <c r="O131" t="s">
        <v>74</v>
      </c>
      <c r="P131" t="s">
        <v>74</v>
      </c>
      <c r="Q131" t="s">
        <v>74</v>
      </c>
      <c r="R131" t="s">
        <v>74</v>
      </c>
      <c r="S131" t="s">
        <v>74</v>
      </c>
      <c r="T131" t="s">
        <v>74</v>
      </c>
      <c r="U131" t="s">
        <v>74</v>
      </c>
      <c r="V131" t="s">
        <v>1803</v>
      </c>
      <c r="W131" t="s">
        <v>74</v>
      </c>
      <c r="X131" t="s">
        <v>74</v>
      </c>
      <c r="Y131" t="s">
        <v>74</v>
      </c>
      <c r="Z131" t="s">
        <v>74</v>
      </c>
      <c r="AA131" t="s">
        <v>1804</v>
      </c>
      <c r="AB131" t="s">
        <v>1497</v>
      </c>
      <c r="AC131" t="s">
        <v>74</v>
      </c>
      <c r="AD131" t="s">
        <v>74</v>
      </c>
      <c r="AE131" t="s">
        <v>74</v>
      </c>
      <c r="AF131" t="s">
        <v>74</v>
      </c>
      <c r="AG131" t="s">
        <v>74</v>
      </c>
      <c r="AH131" t="s">
        <v>74</v>
      </c>
      <c r="AI131" t="s">
        <v>74</v>
      </c>
      <c r="AJ131" t="s">
        <v>74</v>
      </c>
      <c r="AK131" t="s">
        <v>74</v>
      </c>
      <c r="AL131" t="s">
        <v>74</v>
      </c>
      <c r="AM131" t="s">
        <v>74</v>
      </c>
      <c r="AN131" t="s">
        <v>74</v>
      </c>
      <c r="AO131" t="s">
        <v>74</v>
      </c>
      <c r="AP131" t="s">
        <v>349</v>
      </c>
      <c r="AQ131" t="s">
        <v>74</v>
      </c>
      <c r="AR131" t="s">
        <v>74</v>
      </c>
      <c r="AS131" t="s">
        <v>74</v>
      </c>
      <c r="AT131" t="s">
        <v>1805</v>
      </c>
      <c r="AU131">
        <v>2014</v>
      </c>
      <c r="AV131">
        <v>8</v>
      </c>
      <c r="AW131" t="s">
        <v>74</v>
      </c>
      <c r="AX131" t="s">
        <v>74</v>
      </c>
      <c r="AY131" t="s">
        <v>74</v>
      </c>
      <c r="AZ131" t="s">
        <v>74</v>
      </c>
      <c r="BA131" t="s">
        <v>74</v>
      </c>
      <c r="BB131" t="s">
        <v>74</v>
      </c>
      <c r="BC131" t="s">
        <v>74</v>
      </c>
      <c r="BD131">
        <v>84691</v>
      </c>
      <c r="BE131" t="s">
        <v>1806</v>
      </c>
      <c r="BF131" t="str">
        <f>HYPERLINK("http://dx.doi.org/10.1117/1.JRS.8.084691","http://dx.doi.org/10.1117/1.JRS.8.084691")</f>
        <v>http://dx.doi.org/10.1117/1.JRS.8.084691</v>
      </c>
      <c r="BG131" t="s">
        <v>74</v>
      </c>
      <c r="BH131" t="s">
        <v>74</v>
      </c>
      <c r="BI131" t="s">
        <v>74</v>
      </c>
      <c r="BJ131" t="s">
        <v>74</v>
      </c>
      <c r="BK131" t="s">
        <v>74</v>
      </c>
      <c r="BL131" t="s">
        <v>74</v>
      </c>
      <c r="BM131" t="s">
        <v>74</v>
      </c>
      <c r="BN131" t="s">
        <v>74</v>
      </c>
      <c r="BO131" t="s">
        <v>74</v>
      </c>
      <c r="BP131" t="s">
        <v>74</v>
      </c>
      <c r="BQ131" t="s">
        <v>74</v>
      </c>
      <c r="BR131" t="s">
        <v>74</v>
      </c>
      <c r="BS131" t="s">
        <v>1807</v>
      </c>
      <c r="BT131" t="str">
        <f>HYPERLINK("https%3A%2F%2Fwww.webofscience.com%2Fwos%2Fwoscc%2Ffull-record%2FWOS:000338492300001","View Full Record in Web of Science")</f>
        <v>View Full Record in Web of Science</v>
      </c>
    </row>
    <row r="132" spans="1:72" x14ac:dyDescent="0.15">
      <c r="A132" t="s">
        <v>72</v>
      </c>
      <c r="B132" t="s">
        <v>1808</v>
      </c>
      <c r="C132" t="s">
        <v>74</v>
      </c>
      <c r="D132" t="s">
        <v>74</v>
      </c>
      <c r="E132" t="s">
        <v>74</v>
      </c>
      <c r="F132" t="s">
        <v>1809</v>
      </c>
      <c r="G132" t="s">
        <v>74</v>
      </c>
      <c r="H132" t="s">
        <v>74</v>
      </c>
      <c r="I132" t="s">
        <v>1810</v>
      </c>
      <c r="J132" t="s">
        <v>158</v>
      </c>
      <c r="K132" t="s">
        <v>74</v>
      </c>
      <c r="L132" t="s">
        <v>74</v>
      </c>
      <c r="M132" t="s">
        <v>74</v>
      </c>
      <c r="N132" t="s">
        <v>74</v>
      </c>
      <c r="O132" t="s">
        <v>74</v>
      </c>
      <c r="P132" t="s">
        <v>74</v>
      </c>
      <c r="Q132" t="s">
        <v>74</v>
      </c>
      <c r="R132" t="s">
        <v>74</v>
      </c>
      <c r="S132" t="s">
        <v>74</v>
      </c>
      <c r="T132" t="s">
        <v>74</v>
      </c>
      <c r="U132" t="s">
        <v>74</v>
      </c>
      <c r="V132" t="s">
        <v>1811</v>
      </c>
      <c r="W132" t="s">
        <v>74</v>
      </c>
      <c r="X132" t="s">
        <v>74</v>
      </c>
      <c r="Y132" t="s">
        <v>74</v>
      </c>
      <c r="Z132" t="s">
        <v>74</v>
      </c>
      <c r="AA132" t="s">
        <v>1812</v>
      </c>
      <c r="AB132" t="s">
        <v>1813</v>
      </c>
      <c r="AC132" t="s">
        <v>74</v>
      </c>
      <c r="AD132" t="s">
        <v>74</v>
      </c>
      <c r="AE132" t="s">
        <v>74</v>
      </c>
      <c r="AF132" t="s">
        <v>74</v>
      </c>
      <c r="AG132" t="s">
        <v>74</v>
      </c>
      <c r="AH132" t="s">
        <v>74</v>
      </c>
      <c r="AI132" t="s">
        <v>74</v>
      </c>
      <c r="AJ132" t="s">
        <v>74</v>
      </c>
      <c r="AK132" t="s">
        <v>74</v>
      </c>
      <c r="AL132" t="s">
        <v>74</v>
      </c>
      <c r="AM132" t="s">
        <v>74</v>
      </c>
      <c r="AN132" t="s">
        <v>74</v>
      </c>
      <c r="AO132" t="s">
        <v>161</v>
      </c>
      <c r="AP132" t="s">
        <v>162</v>
      </c>
      <c r="AQ132" t="s">
        <v>74</v>
      </c>
      <c r="AR132" t="s">
        <v>74</v>
      </c>
      <c r="AS132" t="s">
        <v>74</v>
      </c>
      <c r="AT132" t="s">
        <v>1814</v>
      </c>
      <c r="AU132">
        <v>2014</v>
      </c>
      <c r="AV132">
        <v>511</v>
      </c>
      <c r="AW132" t="s">
        <v>74</v>
      </c>
      <c r="AX132" t="s">
        <v>74</v>
      </c>
      <c r="AY132" t="s">
        <v>74</v>
      </c>
      <c r="AZ132" t="s">
        <v>74</v>
      </c>
      <c r="BA132" t="s">
        <v>74</v>
      </c>
      <c r="BB132">
        <v>160</v>
      </c>
      <c r="BC132">
        <v>170</v>
      </c>
      <c r="BD132" t="s">
        <v>74</v>
      </c>
      <c r="BE132" t="s">
        <v>1815</v>
      </c>
      <c r="BF132" t="str">
        <f>HYPERLINK("http://dx.doi.org/10.1016/j.jhydrol.2014.01.015","http://dx.doi.org/10.1016/j.jhydrol.2014.01.015")</f>
        <v>http://dx.doi.org/10.1016/j.jhydrol.2014.01.015</v>
      </c>
      <c r="BG132" t="s">
        <v>74</v>
      </c>
      <c r="BH132" t="s">
        <v>74</v>
      </c>
      <c r="BI132" t="s">
        <v>74</v>
      </c>
      <c r="BJ132" t="s">
        <v>74</v>
      </c>
      <c r="BK132" t="s">
        <v>74</v>
      </c>
      <c r="BL132" t="s">
        <v>74</v>
      </c>
      <c r="BM132" t="s">
        <v>74</v>
      </c>
      <c r="BN132" t="s">
        <v>74</v>
      </c>
      <c r="BO132" t="s">
        <v>74</v>
      </c>
      <c r="BP132" t="s">
        <v>74</v>
      </c>
      <c r="BQ132" t="s">
        <v>74</v>
      </c>
      <c r="BR132" t="s">
        <v>74</v>
      </c>
      <c r="BS132" t="s">
        <v>1816</v>
      </c>
      <c r="BT132" t="str">
        <f>HYPERLINK("https%3A%2F%2Fwww.webofscience.com%2Fwos%2Fwoscc%2Ffull-record%2FWOS:000335274900015","View Full Record in Web of Science")</f>
        <v>View Full Record in Web of Science</v>
      </c>
    </row>
    <row r="133" spans="1:72" x14ac:dyDescent="0.15">
      <c r="A133" t="s">
        <v>252</v>
      </c>
      <c r="B133" t="s">
        <v>1817</v>
      </c>
      <c r="C133" t="s">
        <v>74</v>
      </c>
      <c r="D133" t="s">
        <v>1818</v>
      </c>
      <c r="E133" t="s">
        <v>74</v>
      </c>
      <c r="F133" t="s">
        <v>1819</v>
      </c>
      <c r="G133" t="s">
        <v>74</v>
      </c>
      <c r="H133" t="s">
        <v>74</v>
      </c>
      <c r="I133" t="s">
        <v>1820</v>
      </c>
      <c r="J133" t="s">
        <v>1821</v>
      </c>
      <c r="K133" t="s">
        <v>433</v>
      </c>
      <c r="L133" t="s">
        <v>74</v>
      </c>
      <c r="M133" t="s">
        <v>74</v>
      </c>
      <c r="N133" t="s">
        <v>74</v>
      </c>
      <c r="O133" t="s">
        <v>1822</v>
      </c>
      <c r="P133" t="s">
        <v>1823</v>
      </c>
      <c r="Q133" t="s">
        <v>1824</v>
      </c>
      <c r="R133" t="s">
        <v>1825</v>
      </c>
      <c r="S133" t="s">
        <v>74</v>
      </c>
      <c r="T133" t="s">
        <v>74</v>
      </c>
      <c r="U133" t="s">
        <v>74</v>
      </c>
      <c r="V133" t="s">
        <v>1826</v>
      </c>
      <c r="W133" t="s">
        <v>74</v>
      </c>
      <c r="X133" t="s">
        <v>74</v>
      </c>
      <c r="Y133" t="s">
        <v>74</v>
      </c>
      <c r="Z133" t="s">
        <v>74</v>
      </c>
      <c r="AA133" t="s">
        <v>74</v>
      </c>
      <c r="AB133" t="s">
        <v>74</v>
      </c>
      <c r="AC133" t="s">
        <v>74</v>
      </c>
      <c r="AD133" t="s">
        <v>74</v>
      </c>
      <c r="AE133" t="s">
        <v>74</v>
      </c>
      <c r="AF133" t="s">
        <v>74</v>
      </c>
      <c r="AG133" t="s">
        <v>74</v>
      </c>
      <c r="AH133" t="s">
        <v>74</v>
      </c>
      <c r="AI133" t="s">
        <v>74</v>
      </c>
      <c r="AJ133" t="s">
        <v>74</v>
      </c>
      <c r="AK133" t="s">
        <v>74</v>
      </c>
      <c r="AL133" t="s">
        <v>74</v>
      </c>
      <c r="AM133" t="s">
        <v>74</v>
      </c>
      <c r="AN133" t="s">
        <v>74</v>
      </c>
      <c r="AO133" t="s">
        <v>441</v>
      </c>
      <c r="AP133" t="s">
        <v>442</v>
      </c>
      <c r="AQ133" t="s">
        <v>1827</v>
      </c>
      <c r="AR133" t="s">
        <v>74</v>
      </c>
      <c r="AS133" t="s">
        <v>74</v>
      </c>
      <c r="AT133" t="s">
        <v>74</v>
      </c>
      <c r="AU133">
        <v>2013</v>
      </c>
      <c r="AV133">
        <v>8921</v>
      </c>
      <c r="AW133" t="s">
        <v>74</v>
      </c>
      <c r="AX133" t="s">
        <v>74</v>
      </c>
      <c r="AY133" t="s">
        <v>74</v>
      </c>
      <c r="AZ133" t="s">
        <v>74</v>
      </c>
      <c r="BA133" t="s">
        <v>74</v>
      </c>
      <c r="BB133" t="s">
        <v>74</v>
      </c>
      <c r="BC133" t="s">
        <v>74</v>
      </c>
      <c r="BD133" t="s">
        <v>1828</v>
      </c>
      <c r="BE133" t="s">
        <v>1829</v>
      </c>
      <c r="BF133" t="str">
        <f>HYPERLINK("http://dx.doi.org/10.1117/12.2031490","http://dx.doi.org/10.1117/12.2031490")</f>
        <v>http://dx.doi.org/10.1117/12.2031490</v>
      </c>
      <c r="BG133" t="s">
        <v>74</v>
      </c>
      <c r="BH133" t="s">
        <v>74</v>
      </c>
      <c r="BI133" t="s">
        <v>74</v>
      </c>
      <c r="BJ133" t="s">
        <v>74</v>
      </c>
      <c r="BK133" t="s">
        <v>74</v>
      </c>
      <c r="BL133" t="s">
        <v>74</v>
      </c>
      <c r="BM133" t="s">
        <v>74</v>
      </c>
      <c r="BN133" t="s">
        <v>74</v>
      </c>
      <c r="BO133" t="s">
        <v>74</v>
      </c>
      <c r="BP133" t="s">
        <v>74</v>
      </c>
      <c r="BQ133" t="s">
        <v>74</v>
      </c>
      <c r="BR133" t="s">
        <v>74</v>
      </c>
      <c r="BS133" t="s">
        <v>1830</v>
      </c>
      <c r="BT133" t="str">
        <f>HYPERLINK("https%3A%2F%2Fwww.webofscience.com%2Fwos%2Fwoscc%2Ffull-record%2FWOS:000327588700027","View Full Record in Web of Science")</f>
        <v>View Full Record in Web of Science</v>
      </c>
    </row>
    <row r="134" spans="1:72" x14ac:dyDescent="0.15">
      <c r="A134" t="s">
        <v>252</v>
      </c>
      <c r="B134" t="s">
        <v>1831</v>
      </c>
      <c r="C134" t="s">
        <v>74</v>
      </c>
      <c r="D134" t="s">
        <v>74</v>
      </c>
      <c r="E134" t="s">
        <v>254</v>
      </c>
      <c r="F134" t="s">
        <v>1832</v>
      </c>
      <c r="G134" t="s">
        <v>74</v>
      </c>
      <c r="H134" t="s">
        <v>74</v>
      </c>
      <c r="I134" t="s">
        <v>1833</v>
      </c>
      <c r="J134" t="s">
        <v>1834</v>
      </c>
      <c r="K134" t="s">
        <v>258</v>
      </c>
      <c r="L134" t="s">
        <v>74</v>
      </c>
      <c r="M134" t="s">
        <v>74</v>
      </c>
      <c r="N134" t="s">
        <v>74</v>
      </c>
      <c r="O134" t="s">
        <v>388</v>
      </c>
      <c r="P134" t="s">
        <v>1835</v>
      </c>
      <c r="Q134" t="s">
        <v>1836</v>
      </c>
      <c r="R134" t="s">
        <v>1837</v>
      </c>
      <c r="S134" t="s">
        <v>74</v>
      </c>
      <c r="T134" t="s">
        <v>74</v>
      </c>
      <c r="U134" t="s">
        <v>74</v>
      </c>
      <c r="V134" t="s">
        <v>1838</v>
      </c>
      <c r="W134" t="s">
        <v>74</v>
      </c>
      <c r="X134" t="s">
        <v>74</v>
      </c>
      <c r="Y134" t="s">
        <v>74</v>
      </c>
      <c r="Z134" t="s">
        <v>74</v>
      </c>
      <c r="AA134" t="s">
        <v>1839</v>
      </c>
      <c r="AB134" t="s">
        <v>1840</v>
      </c>
      <c r="AC134" t="s">
        <v>74</v>
      </c>
      <c r="AD134" t="s">
        <v>74</v>
      </c>
      <c r="AE134" t="s">
        <v>74</v>
      </c>
      <c r="AF134" t="s">
        <v>74</v>
      </c>
      <c r="AG134" t="s">
        <v>74</v>
      </c>
      <c r="AH134" t="s">
        <v>74</v>
      </c>
      <c r="AI134" t="s">
        <v>74</v>
      </c>
      <c r="AJ134" t="s">
        <v>74</v>
      </c>
      <c r="AK134" t="s">
        <v>74</v>
      </c>
      <c r="AL134" t="s">
        <v>74</v>
      </c>
      <c r="AM134" t="s">
        <v>74</v>
      </c>
      <c r="AN134" t="s">
        <v>74</v>
      </c>
      <c r="AO134" t="s">
        <v>265</v>
      </c>
      <c r="AP134" t="s">
        <v>74</v>
      </c>
      <c r="AQ134" t="s">
        <v>1841</v>
      </c>
      <c r="AR134" t="s">
        <v>74</v>
      </c>
      <c r="AS134" t="s">
        <v>74</v>
      </c>
      <c r="AT134" t="s">
        <v>74</v>
      </c>
      <c r="AU134">
        <v>2012</v>
      </c>
      <c r="AV134" t="s">
        <v>74</v>
      </c>
      <c r="AW134" t="s">
        <v>74</v>
      </c>
      <c r="AX134" t="s">
        <v>74</v>
      </c>
      <c r="AY134" t="s">
        <v>74</v>
      </c>
      <c r="AZ134" t="s">
        <v>74</v>
      </c>
      <c r="BA134" t="s">
        <v>74</v>
      </c>
      <c r="BB134">
        <v>1572</v>
      </c>
      <c r="BC134">
        <v>1575</v>
      </c>
      <c r="BD134" t="s">
        <v>74</v>
      </c>
      <c r="BE134" t="s">
        <v>1842</v>
      </c>
      <c r="BF134" t="str">
        <f>HYPERLINK("http://dx.doi.org/10.1109/IGARSS.2012.6351095","http://dx.doi.org/10.1109/IGARSS.2012.6351095")</f>
        <v>http://dx.doi.org/10.1109/IGARSS.2012.6351095</v>
      </c>
      <c r="BG134" t="s">
        <v>74</v>
      </c>
      <c r="BH134" t="s">
        <v>74</v>
      </c>
      <c r="BI134" t="s">
        <v>74</v>
      </c>
      <c r="BJ134" t="s">
        <v>74</v>
      </c>
      <c r="BK134" t="s">
        <v>74</v>
      </c>
      <c r="BL134" t="s">
        <v>74</v>
      </c>
      <c r="BM134" t="s">
        <v>74</v>
      </c>
      <c r="BN134" t="s">
        <v>74</v>
      </c>
      <c r="BO134" t="s">
        <v>74</v>
      </c>
      <c r="BP134" t="s">
        <v>74</v>
      </c>
      <c r="BQ134" t="s">
        <v>74</v>
      </c>
      <c r="BR134" t="s">
        <v>74</v>
      </c>
      <c r="BS134" t="s">
        <v>1843</v>
      </c>
      <c r="BT134" t="str">
        <f>HYPERLINK("https%3A%2F%2Fwww.webofscience.com%2Fwos%2Fwoscc%2Ffull-record%2FWOS:000313189401195","View Full Record in Web of Science")</f>
        <v>View Full Record in Web of Science</v>
      </c>
    </row>
    <row r="135" spans="1:72" x14ac:dyDescent="0.15">
      <c r="A135" t="s">
        <v>72</v>
      </c>
      <c r="B135" t="s">
        <v>902</v>
      </c>
      <c r="C135" t="s">
        <v>74</v>
      </c>
      <c r="D135" t="s">
        <v>74</v>
      </c>
      <c r="E135" t="s">
        <v>74</v>
      </c>
      <c r="F135" t="s">
        <v>903</v>
      </c>
      <c r="G135" t="s">
        <v>74</v>
      </c>
      <c r="H135" t="s">
        <v>74</v>
      </c>
      <c r="I135" t="s">
        <v>904</v>
      </c>
      <c r="J135" t="s">
        <v>122</v>
      </c>
      <c r="K135" t="s">
        <v>74</v>
      </c>
      <c r="L135" t="s">
        <v>74</v>
      </c>
      <c r="M135" t="s">
        <v>74</v>
      </c>
      <c r="N135" t="s">
        <v>74</v>
      </c>
      <c r="O135" t="s">
        <v>74</v>
      </c>
      <c r="P135" t="s">
        <v>74</v>
      </c>
      <c r="Q135" t="s">
        <v>74</v>
      </c>
      <c r="R135" t="s">
        <v>74</v>
      </c>
      <c r="S135" t="s">
        <v>74</v>
      </c>
      <c r="T135" t="s">
        <v>74</v>
      </c>
      <c r="U135" t="s">
        <v>74</v>
      </c>
      <c r="V135" t="s">
        <v>905</v>
      </c>
      <c r="W135" t="s">
        <v>74</v>
      </c>
      <c r="X135" t="s">
        <v>74</v>
      </c>
      <c r="Y135" t="s">
        <v>74</v>
      </c>
      <c r="Z135" t="s">
        <v>74</v>
      </c>
      <c r="AA135" t="s">
        <v>906</v>
      </c>
      <c r="AB135" t="s">
        <v>907</v>
      </c>
      <c r="AC135" t="s">
        <v>74</v>
      </c>
      <c r="AD135" t="s">
        <v>74</v>
      </c>
      <c r="AE135" t="s">
        <v>74</v>
      </c>
      <c r="AF135" t="s">
        <v>74</v>
      </c>
      <c r="AG135" t="s">
        <v>74</v>
      </c>
      <c r="AH135" t="s">
        <v>74</v>
      </c>
      <c r="AI135" t="s">
        <v>74</v>
      </c>
      <c r="AJ135" t="s">
        <v>74</v>
      </c>
      <c r="AK135" t="s">
        <v>74</v>
      </c>
      <c r="AL135" t="s">
        <v>74</v>
      </c>
      <c r="AM135" t="s">
        <v>74</v>
      </c>
      <c r="AN135" t="s">
        <v>74</v>
      </c>
      <c r="AO135" t="s">
        <v>126</v>
      </c>
      <c r="AP135" t="s">
        <v>127</v>
      </c>
      <c r="AQ135" t="s">
        <v>74</v>
      </c>
      <c r="AR135" t="s">
        <v>74</v>
      </c>
      <c r="AS135" t="s">
        <v>74</v>
      </c>
      <c r="AT135" t="s">
        <v>908</v>
      </c>
      <c r="AU135">
        <v>2011</v>
      </c>
      <c r="AV135">
        <v>115</v>
      </c>
      <c r="AW135">
        <v>12</v>
      </c>
      <c r="AX135" t="s">
        <v>74</v>
      </c>
      <c r="AY135" t="s">
        <v>74</v>
      </c>
      <c r="AZ135" t="s">
        <v>74</v>
      </c>
      <c r="BA135" t="s">
        <v>74</v>
      </c>
      <c r="BB135">
        <v>3355</v>
      </c>
      <c r="BC135">
        <v>3366</v>
      </c>
      <c r="BD135" t="s">
        <v>74</v>
      </c>
      <c r="BE135" t="s">
        <v>909</v>
      </c>
      <c r="BF135" t="str">
        <f>HYPERLINK("http://dx.doi.org/10.1016/j.rse.2011.07.018","http://dx.doi.org/10.1016/j.rse.2011.07.018")</f>
        <v>http://dx.doi.org/10.1016/j.rse.2011.07.018</v>
      </c>
      <c r="BG135" t="s">
        <v>74</v>
      </c>
      <c r="BH135" t="s">
        <v>74</v>
      </c>
      <c r="BI135" t="s">
        <v>74</v>
      </c>
      <c r="BJ135" t="s">
        <v>74</v>
      </c>
      <c r="BK135" t="s">
        <v>74</v>
      </c>
      <c r="BL135" t="s">
        <v>74</v>
      </c>
      <c r="BM135" t="s">
        <v>74</v>
      </c>
      <c r="BN135" t="s">
        <v>74</v>
      </c>
      <c r="BO135" t="s">
        <v>74</v>
      </c>
      <c r="BP135" t="s">
        <v>74</v>
      </c>
      <c r="BQ135" t="s">
        <v>74</v>
      </c>
      <c r="BR135" t="s">
        <v>74</v>
      </c>
      <c r="BS135" t="s">
        <v>910</v>
      </c>
      <c r="BT135" t="str">
        <f>HYPERLINK("https%3A%2F%2Fwww.webofscience.com%2Fwos%2Fwoscc%2Ffull-record%2FWOS:000298311300033","View Full Record in Web of Science")</f>
        <v>View Full Record in Web of Science</v>
      </c>
    </row>
    <row r="136" spans="1:72" x14ac:dyDescent="0.15">
      <c r="A136" t="s">
        <v>72</v>
      </c>
      <c r="B136" t="s">
        <v>1844</v>
      </c>
      <c r="C136" t="s">
        <v>74</v>
      </c>
      <c r="D136" t="s">
        <v>74</v>
      </c>
      <c r="E136" t="s">
        <v>74</v>
      </c>
      <c r="F136" t="s">
        <v>1845</v>
      </c>
      <c r="G136" t="s">
        <v>74</v>
      </c>
      <c r="H136" t="s">
        <v>74</v>
      </c>
      <c r="I136" t="s">
        <v>1846</v>
      </c>
      <c r="J136" t="s">
        <v>1847</v>
      </c>
      <c r="K136" t="s">
        <v>74</v>
      </c>
      <c r="L136" t="s">
        <v>74</v>
      </c>
      <c r="M136" t="s">
        <v>74</v>
      </c>
      <c r="N136" t="s">
        <v>74</v>
      </c>
      <c r="O136" t="s">
        <v>74</v>
      </c>
      <c r="P136" t="s">
        <v>74</v>
      </c>
      <c r="Q136" t="s">
        <v>74</v>
      </c>
      <c r="R136" t="s">
        <v>74</v>
      </c>
      <c r="S136" t="s">
        <v>74</v>
      </c>
      <c r="T136" t="s">
        <v>74</v>
      </c>
      <c r="U136" t="s">
        <v>74</v>
      </c>
      <c r="V136" t="s">
        <v>1848</v>
      </c>
      <c r="W136" t="s">
        <v>74</v>
      </c>
      <c r="X136" t="s">
        <v>74</v>
      </c>
      <c r="Y136" t="s">
        <v>74</v>
      </c>
      <c r="Z136" t="s">
        <v>74</v>
      </c>
      <c r="AA136" t="s">
        <v>1849</v>
      </c>
      <c r="AB136" t="s">
        <v>1850</v>
      </c>
      <c r="AC136" t="s">
        <v>74</v>
      </c>
      <c r="AD136" t="s">
        <v>74</v>
      </c>
      <c r="AE136" t="s">
        <v>74</v>
      </c>
      <c r="AF136" t="s">
        <v>74</v>
      </c>
      <c r="AG136" t="s">
        <v>74</v>
      </c>
      <c r="AH136" t="s">
        <v>74</v>
      </c>
      <c r="AI136" t="s">
        <v>74</v>
      </c>
      <c r="AJ136" t="s">
        <v>74</v>
      </c>
      <c r="AK136" t="s">
        <v>74</v>
      </c>
      <c r="AL136" t="s">
        <v>74</v>
      </c>
      <c r="AM136" t="s">
        <v>74</v>
      </c>
      <c r="AN136" t="s">
        <v>74</v>
      </c>
      <c r="AO136" t="s">
        <v>1851</v>
      </c>
      <c r="AP136" t="s">
        <v>1852</v>
      </c>
      <c r="AQ136" t="s">
        <v>74</v>
      </c>
      <c r="AR136" t="s">
        <v>74</v>
      </c>
      <c r="AS136" t="s">
        <v>74</v>
      </c>
      <c r="AT136" t="s">
        <v>321</v>
      </c>
      <c r="AU136">
        <v>2010</v>
      </c>
      <c r="AV136">
        <v>30</v>
      </c>
      <c r="AW136">
        <v>15</v>
      </c>
      <c r="AX136" t="s">
        <v>74</v>
      </c>
      <c r="AY136" t="s">
        <v>74</v>
      </c>
      <c r="AZ136" t="s">
        <v>74</v>
      </c>
      <c r="BA136" t="s">
        <v>74</v>
      </c>
      <c r="BB136">
        <v>2330</v>
      </c>
      <c r="BC136">
        <v>2341</v>
      </c>
      <c r="BD136" t="s">
        <v>74</v>
      </c>
      <c r="BE136" t="s">
        <v>1853</v>
      </c>
      <c r="BF136" t="str">
        <f>HYPERLINK("http://dx.doi.org/10.1002/joc.2043","http://dx.doi.org/10.1002/joc.2043")</f>
        <v>http://dx.doi.org/10.1002/joc.2043</v>
      </c>
      <c r="BG136" t="s">
        <v>74</v>
      </c>
      <c r="BH136" t="s">
        <v>74</v>
      </c>
      <c r="BI136" t="s">
        <v>74</v>
      </c>
      <c r="BJ136" t="s">
        <v>74</v>
      </c>
      <c r="BK136" t="s">
        <v>74</v>
      </c>
      <c r="BL136" t="s">
        <v>74</v>
      </c>
      <c r="BM136" t="s">
        <v>74</v>
      </c>
      <c r="BN136" t="s">
        <v>74</v>
      </c>
      <c r="BO136" t="s">
        <v>74</v>
      </c>
      <c r="BP136" t="s">
        <v>74</v>
      </c>
      <c r="BQ136" t="s">
        <v>74</v>
      </c>
      <c r="BR136" t="s">
        <v>74</v>
      </c>
      <c r="BS136" t="s">
        <v>1854</v>
      </c>
      <c r="BT136" t="str">
        <f>HYPERLINK("https%3A%2F%2Fwww.webofscience.com%2Fwos%2Fwoscc%2Ffull-record%2FWOS:000285307100008","View Full Record in Web of Science")</f>
        <v>View Full Record in Web of Science</v>
      </c>
    </row>
    <row r="137" spans="1:72" x14ac:dyDescent="0.15">
      <c r="A137" t="s">
        <v>72</v>
      </c>
      <c r="B137" t="s">
        <v>1855</v>
      </c>
      <c r="C137" t="s">
        <v>74</v>
      </c>
      <c r="D137" t="s">
        <v>74</v>
      </c>
      <c r="E137" t="s">
        <v>74</v>
      </c>
      <c r="F137" t="s">
        <v>1856</v>
      </c>
      <c r="G137" t="s">
        <v>74</v>
      </c>
      <c r="H137" t="s">
        <v>74</v>
      </c>
      <c r="I137" t="s">
        <v>1857</v>
      </c>
      <c r="J137" t="s">
        <v>122</v>
      </c>
      <c r="K137" t="s">
        <v>74</v>
      </c>
      <c r="L137" t="s">
        <v>74</v>
      </c>
      <c r="M137" t="s">
        <v>74</v>
      </c>
      <c r="N137" t="s">
        <v>74</v>
      </c>
      <c r="O137" t="s">
        <v>74</v>
      </c>
      <c r="P137" t="s">
        <v>74</v>
      </c>
      <c r="Q137" t="s">
        <v>74</v>
      </c>
      <c r="R137" t="s">
        <v>74</v>
      </c>
      <c r="S137" t="s">
        <v>74</v>
      </c>
      <c r="T137" t="s">
        <v>74</v>
      </c>
      <c r="U137" t="s">
        <v>74</v>
      </c>
      <c r="V137" t="s">
        <v>1858</v>
      </c>
      <c r="W137" t="s">
        <v>74</v>
      </c>
      <c r="X137" t="s">
        <v>74</v>
      </c>
      <c r="Y137" t="s">
        <v>74</v>
      </c>
      <c r="Z137" t="s">
        <v>74</v>
      </c>
      <c r="AA137" t="s">
        <v>1859</v>
      </c>
      <c r="AB137" t="s">
        <v>1860</v>
      </c>
      <c r="AC137" t="s">
        <v>74</v>
      </c>
      <c r="AD137" t="s">
        <v>74</v>
      </c>
      <c r="AE137" t="s">
        <v>74</v>
      </c>
      <c r="AF137" t="s">
        <v>74</v>
      </c>
      <c r="AG137" t="s">
        <v>74</v>
      </c>
      <c r="AH137" t="s">
        <v>74</v>
      </c>
      <c r="AI137" t="s">
        <v>74</v>
      </c>
      <c r="AJ137" t="s">
        <v>74</v>
      </c>
      <c r="AK137" t="s">
        <v>74</v>
      </c>
      <c r="AL137" t="s">
        <v>74</v>
      </c>
      <c r="AM137" t="s">
        <v>74</v>
      </c>
      <c r="AN137" t="s">
        <v>74</v>
      </c>
      <c r="AO137" t="s">
        <v>126</v>
      </c>
      <c r="AP137" t="s">
        <v>74</v>
      </c>
      <c r="AQ137" t="s">
        <v>74</v>
      </c>
      <c r="AR137" t="s">
        <v>74</v>
      </c>
      <c r="AS137" t="s">
        <v>74</v>
      </c>
      <c r="AT137" t="s">
        <v>1861</v>
      </c>
      <c r="AU137">
        <v>2010</v>
      </c>
      <c r="AV137">
        <v>114</v>
      </c>
      <c r="AW137">
        <v>1</v>
      </c>
      <c r="AX137" t="s">
        <v>74</v>
      </c>
      <c r="AY137" t="s">
        <v>74</v>
      </c>
      <c r="AZ137" t="s">
        <v>74</v>
      </c>
      <c r="BA137" t="s">
        <v>74</v>
      </c>
      <c r="BB137">
        <v>199</v>
      </c>
      <c r="BC137">
        <v>210</v>
      </c>
      <c r="BD137" t="s">
        <v>74</v>
      </c>
      <c r="BE137" t="s">
        <v>1862</v>
      </c>
      <c r="BF137" t="str">
        <f>HYPERLINK("http://dx.doi.org/10.1016/j.rse.2009.09.002","http://dx.doi.org/10.1016/j.rse.2009.09.002")</f>
        <v>http://dx.doi.org/10.1016/j.rse.2009.09.002</v>
      </c>
      <c r="BG137" t="s">
        <v>74</v>
      </c>
      <c r="BH137" t="s">
        <v>74</v>
      </c>
      <c r="BI137" t="s">
        <v>74</v>
      </c>
      <c r="BJ137" t="s">
        <v>74</v>
      </c>
      <c r="BK137" t="s">
        <v>74</v>
      </c>
      <c r="BL137" t="s">
        <v>74</v>
      </c>
      <c r="BM137" t="s">
        <v>74</v>
      </c>
      <c r="BN137" t="s">
        <v>74</v>
      </c>
      <c r="BO137" t="s">
        <v>74</v>
      </c>
      <c r="BP137" t="s">
        <v>74</v>
      </c>
      <c r="BQ137" t="s">
        <v>74</v>
      </c>
      <c r="BR137" t="s">
        <v>74</v>
      </c>
      <c r="BS137" t="s">
        <v>1863</v>
      </c>
      <c r="BT137" t="str">
        <f>HYPERLINK("https%3A%2F%2Fwww.webofscience.com%2Fwos%2Fwoscc%2Ffull-record%2FWOS:000271688700015","View Full Record in Web of Science")</f>
        <v>View Full Record in Web of Science</v>
      </c>
    </row>
    <row r="138" spans="1:72" x14ac:dyDescent="0.15">
      <c r="A138" t="s">
        <v>72</v>
      </c>
      <c r="B138" t="s">
        <v>1864</v>
      </c>
      <c r="C138" t="s">
        <v>74</v>
      </c>
      <c r="D138" t="s">
        <v>74</v>
      </c>
      <c r="E138" t="s">
        <v>74</v>
      </c>
      <c r="F138" t="s">
        <v>1865</v>
      </c>
      <c r="G138" t="s">
        <v>74</v>
      </c>
      <c r="H138" t="s">
        <v>74</v>
      </c>
      <c r="I138" t="s">
        <v>1866</v>
      </c>
      <c r="J138" t="s">
        <v>1867</v>
      </c>
      <c r="K138" t="s">
        <v>74</v>
      </c>
      <c r="L138" t="s">
        <v>74</v>
      </c>
      <c r="M138" t="s">
        <v>74</v>
      </c>
      <c r="N138" t="s">
        <v>74</v>
      </c>
      <c r="O138" t="s">
        <v>74</v>
      </c>
      <c r="P138" t="s">
        <v>74</v>
      </c>
      <c r="Q138" t="s">
        <v>74</v>
      </c>
      <c r="R138" t="s">
        <v>74</v>
      </c>
      <c r="S138" t="s">
        <v>74</v>
      </c>
      <c r="T138" t="s">
        <v>74</v>
      </c>
      <c r="U138" t="s">
        <v>74</v>
      </c>
      <c r="V138" t="s">
        <v>1868</v>
      </c>
      <c r="W138" t="s">
        <v>74</v>
      </c>
      <c r="X138" t="s">
        <v>74</v>
      </c>
      <c r="Y138" t="s">
        <v>74</v>
      </c>
      <c r="Z138" t="s">
        <v>74</v>
      </c>
      <c r="AA138" t="s">
        <v>1869</v>
      </c>
      <c r="AB138" t="s">
        <v>1870</v>
      </c>
      <c r="AC138" t="s">
        <v>74</v>
      </c>
      <c r="AD138" t="s">
        <v>74</v>
      </c>
      <c r="AE138" t="s">
        <v>74</v>
      </c>
      <c r="AF138" t="s">
        <v>74</v>
      </c>
      <c r="AG138" t="s">
        <v>74</v>
      </c>
      <c r="AH138" t="s">
        <v>74</v>
      </c>
      <c r="AI138" t="s">
        <v>74</v>
      </c>
      <c r="AJ138" t="s">
        <v>74</v>
      </c>
      <c r="AK138" t="s">
        <v>74</v>
      </c>
      <c r="AL138" t="s">
        <v>74</v>
      </c>
      <c r="AM138" t="s">
        <v>74</v>
      </c>
      <c r="AN138" t="s">
        <v>74</v>
      </c>
      <c r="AO138" t="s">
        <v>1871</v>
      </c>
      <c r="AP138" t="s">
        <v>1872</v>
      </c>
      <c r="AQ138" t="s">
        <v>74</v>
      </c>
      <c r="AR138" t="s">
        <v>74</v>
      </c>
      <c r="AS138" t="s">
        <v>74</v>
      </c>
      <c r="AT138" t="s">
        <v>74</v>
      </c>
      <c r="AU138">
        <v>2010</v>
      </c>
      <c r="AV138">
        <v>36</v>
      </c>
      <c r="AW138" t="s">
        <v>74</v>
      </c>
      <c r="AX138" t="s">
        <v>74</v>
      </c>
      <c r="AY138">
        <v>1</v>
      </c>
      <c r="AZ138" t="s">
        <v>1554</v>
      </c>
      <c r="BA138" t="s">
        <v>74</v>
      </c>
      <c r="BB138" t="s">
        <v>1873</v>
      </c>
      <c r="BC138" t="s">
        <v>1874</v>
      </c>
      <c r="BD138" t="s">
        <v>74</v>
      </c>
      <c r="BE138" t="s">
        <v>1875</v>
      </c>
      <c r="BF138" t="str">
        <f>HYPERLINK("http://dx.doi.org/10.5589/m10-009","http://dx.doi.org/10.5589/m10-009")</f>
        <v>http://dx.doi.org/10.5589/m10-009</v>
      </c>
      <c r="BG138" t="s">
        <v>74</v>
      </c>
      <c r="BH138" t="s">
        <v>74</v>
      </c>
      <c r="BI138" t="s">
        <v>74</v>
      </c>
      <c r="BJ138" t="s">
        <v>74</v>
      </c>
      <c r="BK138" t="s">
        <v>74</v>
      </c>
      <c r="BL138" t="s">
        <v>74</v>
      </c>
      <c r="BM138" t="s">
        <v>74</v>
      </c>
      <c r="BN138" t="s">
        <v>74</v>
      </c>
      <c r="BO138" t="s">
        <v>74</v>
      </c>
      <c r="BP138" t="s">
        <v>74</v>
      </c>
      <c r="BQ138" t="s">
        <v>74</v>
      </c>
      <c r="BR138" t="s">
        <v>74</v>
      </c>
      <c r="BS138" t="s">
        <v>1876</v>
      </c>
      <c r="BT138" t="str">
        <f>HYPERLINK("https%3A%2F%2Fwww.webofscience.com%2Fwos%2Fwoscc%2Ffull-record%2FWOS:000282371000007","View Full Record in Web of Science")</f>
        <v>View Full Record in Web of Science</v>
      </c>
    </row>
    <row r="139" spans="1:72" x14ac:dyDescent="0.15">
      <c r="A139" t="s">
        <v>252</v>
      </c>
      <c r="B139" t="s">
        <v>1877</v>
      </c>
      <c r="C139" t="s">
        <v>74</v>
      </c>
      <c r="D139" t="s">
        <v>1878</v>
      </c>
      <c r="E139" t="s">
        <v>74</v>
      </c>
      <c r="F139" t="s">
        <v>1879</v>
      </c>
      <c r="G139" t="s">
        <v>74</v>
      </c>
      <c r="H139" t="s">
        <v>74</v>
      </c>
      <c r="I139" t="s">
        <v>1880</v>
      </c>
      <c r="J139" t="s">
        <v>1881</v>
      </c>
      <c r="K139" t="s">
        <v>74</v>
      </c>
      <c r="L139" t="s">
        <v>74</v>
      </c>
      <c r="M139" t="s">
        <v>74</v>
      </c>
      <c r="N139" t="s">
        <v>74</v>
      </c>
      <c r="O139" t="s">
        <v>1882</v>
      </c>
      <c r="P139" t="s">
        <v>1883</v>
      </c>
      <c r="Q139" t="s">
        <v>1884</v>
      </c>
      <c r="R139" t="s">
        <v>1885</v>
      </c>
      <c r="S139" t="s">
        <v>74</v>
      </c>
      <c r="T139" t="s">
        <v>74</v>
      </c>
      <c r="U139" t="s">
        <v>74</v>
      </c>
      <c r="V139" t="s">
        <v>74</v>
      </c>
      <c r="W139" t="s">
        <v>74</v>
      </c>
      <c r="X139" t="s">
        <v>74</v>
      </c>
      <c r="Y139" t="s">
        <v>74</v>
      </c>
      <c r="Z139" t="s">
        <v>74</v>
      </c>
      <c r="AA139" t="s">
        <v>74</v>
      </c>
      <c r="AB139" t="s">
        <v>74</v>
      </c>
      <c r="AC139" t="s">
        <v>74</v>
      </c>
      <c r="AD139" t="s">
        <v>74</v>
      </c>
      <c r="AE139" t="s">
        <v>74</v>
      </c>
      <c r="AF139" t="s">
        <v>74</v>
      </c>
      <c r="AG139" t="s">
        <v>74</v>
      </c>
      <c r="AH139" t="s">
        <v>74</v>
      </c>
      <c r="AI139" t="s">
        <v>74</v>
      </c>
      <c r="AJ139" t="s">
        <v>74</v>
      </c>
      <c r="AK139" t="s">
        <v>74</v>
      </c>
      <c r="AL139" t="s">
        <v>74</v>
      </c>
      <c r="AM139" t="s">
        <v>74</v>
      </c>
      <c r="AN139" t="s">
        <v>74</v>
      </c>
      <c r="AO139" t="s">
        <v>74</v>
      </c>
      <c r="AP139" t="s">
        <v>74</v>
      </c>
      <c r="AQ139" t="s">
        <v>74</v>
      </c>
      <c r="AR139" t="s">
        <v>74</v>
      </c>
      <c r="AS139" t="s">
        <v>74</v>
      </c>
      <c r="AT139" t="s">
        <v>74</v>
      </c>
      <c r="AU139">
        <v>2010</v>
      </c>
      <c r="AV139" t="s">
        <v>74</v>
      </c>
      <c r="AW139" t="s">
        <v>74</v>
      </c>
      <c r="AX139" t="s">
        <v>74</v>
      </c>
      <c r="AY139" t="s">
        <v>74</v>
      </c>
      <c r="AZ139" t="s">
        <v>74</v>
      </c>
      <c r="BA139" t="s">
        <v>74</v>
      </c>
      <c r="BB139">
        <v>45</v>
      </c>
      <c r="BC139">
        <v>54</v>
      </c>
      <c r="BD139" t="s">
        <v>74</v>
      </c>
      <c r="BE139" t="s">
        <v>74</v>
      </c>
      <c r="BF139" t="s">
        <v>74</v>
      </c>
      <c r="BG139" t="s">
        <v>74</v>
      </c>
      <c r="BH139" t="s">
        <v>74</v>
      </c>
      <c r="BI139" t="s">
        <v>74</v>
      </c>
      <c r="BJ139" t="s">
        <v>74</v>
      </c>
      <c r="BK139" t="s">
        <v>74</v>
      </c>
      <c r="BL139" t="s">
        <v>74</v>
      </c>
      <c r="BM139" t="s">
        <v>74</v>
      </c>
      <c r="BN139" t="s">
        <v>74</v>
      </c>
      <c r="BO139" t="s">
        <v>74</v>
      </c>
      <c r="BP139" t="s">
        <v>74</v>
      </c>
      <c r="BQ139" t="s">
        <v>74</v>
      </c>
      <c r="BR139" t="s">
        <v>74</v>
      </c>
      <c r="BS139" t="s">
        <v>1886</v>
      </c>
      <c r="BT139" t="str">
        <f>HYPERLINK("https%3A%2F%2Fwww.webofscience.com%2Fwos%2Fwoscc%2Ffull-record%2FWOS:000392561300006","View Full Record in Web of Science")</f>
        <v>View Full Record in Web of Science</v>
      </c>
    </row>
    <row r="140" spans="1:72" x14ac:dyDescent="0.15">
      <c r="A140" t="s">
        <v>252</v>
      </c>
      <c r="B140" t="s">
        <v>1887</v>
      </c>
      <c r="C140" t="s">
        <v>74</v>
      </c>
      <c r="D140" t="s">
        <v>74</v>
      </c>
      <c r="E140" t="s">
        <v>254</v>
      </c>
      <c r="F140" t="s">
        <v>1888</v>
      </c>
      <c r="G140" t="s">
        <v>74</v>
      </c>
      <c r="H140" t="s">
        <v>74</v>
      </c>
      <c r="I140" t="s">
        <v>1889</v>
      </c>
      <c r="J140" t="s">
        <v>1890</v>
      </c>
      <c r="K140" t="s">
        <v>258</v>
      </c>
      <c r="L140" t="s">
        <v>74</v>
      </c>
      <c r="M140" t="s">
        <v>74</v>
      </c>
      <c r="N140" t="s">
        <v>74</v>
      </c>
      <c r="O140" t="s">
        <v>1891</v>
      </c>
      <c r="P140" t="s">
        <v>1892</v>
      </c>
      <c r="Q140" t="s">
        <v>1893</v>
      </c>
      <c r="R140" t="s">
        <v>254</v>
      </c>
      <c r="S140" t="s">
        <v>74</v>
      </c>
      <c r="T140" t="s">
        <v>74</v>
      </c>
      <c r="U140" t="s">
        <v>74</v>
      </c>
      <c r="V140" t="s">
        <v>1894</v>
      </c>
      <c r="W140" t="s">
        <v>74</v>
      </c>
      <c r="X140" t="s">
        <v>74</v>
      </c>
      <c r="Y140" t="s">
        <v>74</v>
      </c>
      <c r="Z140" t="s">
        <v>74</v>
      </c>
      <c r="AA140" t="s">
        <v>1895</v>
      </c>
      <c r="AB140" t="s">
        <v>1896</v>
      </c>
      <c r="AC140" t="s">
        <v>74</v>
      </c>
      <c r="AD140" t="s">
        <v>74</v>
      </c>
      <c r="AE140" t="s">
        <v>74</v>
      </c>
      <c r="AF140" t="s">
        <v>74</v>
      </c>
      <c r="AG140" t="s">
        <v>74</v>
      </c>
      <c r="AH140" t="s">
        <v>74</v>
      </c>
      <c r="AI140" t="s">
        <v>74</v>
      </c>
      <c r="AJ140" t="s">
        <v>74</v>
      </c>
      <c r="AK140" t="s">
        <v>74</v>
      </c>
      <c r="AL140" t="s">
        <v>74</v>
      </c>
      <c r="AM140" t="s">
        <v>74</v>
      </c>
      <c r="AN140" t="s">
        <v>74</v>
      </c>
      <c r="AO140" t="s">
        <v>265</v>
      </c>
      <c r="AP140" t="s">
        <v>74</v>
      </c>
      <c r="AQ140" t="s">
        <v>1897</v>
      </c>
      <c r="AR140" t="s">
        <v>74</v>
      </c>
      <c r="AS140" t="s">
        <v>74</v>
      </c>
      <c r="AT140" t="s">
        <v>74</v>
      </c>
      <c r="AU140">
        <v>2009</v>
      </c>
      <c r="AV140" t="s">
        <v>74</v>
      </c>
      <c r="AW140" t="s">
        <v>74</v>
      </c>
      <c r="AX140" t="s">
        <v>74</v>
      </c>
      <c r="AY140" t="s">
        <v>74</v>
      </c>
      <c r="AZ140" t="s">
        <v>74</v>
      </c>
      <c r="BA140" t="s">
        <v>74</v>
      </c>
      <c r="BB140">
        <v>1251</v>
      </c>
      <c r="BC140" t="s">
        <v>1898</v>
      </c>
      <c r="BD140" t="s">
        <v>74</v>
      </c>
      <c r="BE140" t="s">
        <v>1899</v>
      </c>
      <c r="BF140" t="str">
        <f>HYPERLINK("http://dx.doi.org/10.1109/IGARSS.2009.5418270","http://dx.doi.org/10.1109/IGARSS.2009.5418270")</f>
        <v>http://dx.doi.org/10.1109/IGARSS.2009.5418270</v>
      </c>
      <c r="BG140" t="s">
        <v>74</v>
      </c>
      <c r="BH140" t="s">
        <v>74</v>
      </c>
      <c r="BI140" t="s">
        <v>74</v>
      </c>
      <c r="BJ140" t="s">
        <v>74</v>
      </c>
      <c r="BK140" t="s">
        <v>74</v>
      </c>
      <c r="BL140" t="s">
        <v>74</v>
      </c>
      <c r="BM140" t="s">
        <v>74</v>
      </c>
      <c r="BN140" t="s">
        <v>74</v>
      </c>
      <c r="BO140" t="s">
        <v>74</v>
      </c>
      <c r="BP140" t="s">
        <v>74</v>
      </c>
      <c r="BQ140" t="s">
        <v>74</v>
      </c>
      <c r="BR140" t="s">
        <v>74</v>
      </c>
      <c r="BS140" t="s">
        <v>1900</v>
      </c>
      <c r="BT140" t="str">
        <f>HYPERLINK("https%3A%2F%2Fwww.webofscience.com%2Fwos%2Fwoscc%2Ffull-record%2FWOS:000281054100317","View Full Record in Web of Science")</f>
        <v>View Full Record in Web of Science</v>
      </c>
    </row>
    <row r="141" spans="1:72" x14ac:dyDescent="0.15">
      <c r="A141" t="s">
        <v>72</v>
      </c>
      <c r="B141" t="s">
        <v>1901</v>
      </c>
      <c r="C141" t="s">
        <v>74</v>
      </c>
      <c r="D141" t="s">
        <v>74</v>
      </c>
      <c r="E141" t="s">
        <v>74</v>
      </c>
      <c r="F141" t="s">
        <v>1902</v>
      </c>
      <c r="G141" t="s">
        <v>74</v>
      </c>
      <c r="H141" t="s">
        <v>74</v>
      </c>
      <c r="I141" t="s">
        <v>1903</v>
      </c>
      <c r="J141" t="s">
        <v>96</v>
      </c>
      <c r="K141" t="s">
        <v>74</v>
      </c>
      <c r="L141" t="s">
        <v>74</v>
      </c>
      <c r="M141" t="s">
        <v>74</v>
      </c>
      <c r="N141" t="s">
        <v>74</v>
      </c>
      <c r="O141" t="s">
        <v>74</v>
      </c>
      <c r="P141" t="s">
        <v>74</v>
      </c>
      <c r="Q141" t="s">
        <v>74</v>
      </c>
      <c r="R141" t="s">
        <v>74</v>
      </c>
      <c r="S141" t="s">
        <v>74</v>
      </c>
      <c r="T141" t="s">
        <v>74</v>
      </c>
      <c r="U141" t="s">
        <v>74</v>
      </c>
      <c r="V141" t="s">
        <v>1904</v>
      </c>
      <c r="W141" t="s">
        <v>74</v>
      </c>
      <c r="X141" t="s">
        <v>74</v>
      </c>
      <c r="Y141" t="s">
        <v>74</v>
      </c>
      <c r="Z141" t="s">
        <v>74</v>
      </c>
      <c r="AA141" t="s">
        <v>74</v>
      </c>
      <c r="AB141" t="s">
        <v>74</v>
      </c>
      <c r="AC141" t="s">
        <v>74</v>
      </c>
      <c r="AD141" t="s">
        <v>74</v>
      </c>
      <c r="AE141" t="s">
        <v>74</v>
      </c>
      <c r="AF141" t="s">
        <v>74</v>
      </c>
      <c r="AG141" t="s">
        <v>74</v>
      </c>
      <c r="AH141" t="s">
        <v>74</v>
      </c>
      <c r="AI141" t="s">
        <v>74</v>
      </c>
      <c r="AJ141" t="s">
        <v>74</v>
      </c>
      <c r="AK141" t="s">
        <v>74</v>
      </c>
      <c r="AL141" t="s">
        <v>74</v>
      </c>
      <c r="AM141" t="s">
        <v>74</v>
      </c>
      <c r="AN141" t="s">
        <v>74</v>
      </c>
      <c r="AO141" t="s">
        <v>99</v>
      </c>
      <c r="AP141" t="s">
        <v>100</v>
      </c>
      <c r="AQ141" t="s">
        <v>74</v>
      </c>
      <c r="AR141" t="s">
        <v>74</v>
      </c>
      <c r="AS141" t="s">
        <v>74</v>
      </c>
      <c r="AT141" t="s">
        <v>208</v>
      </c>
      <c r="AU141">
        <v>2008</v>
      </c>
      <c r="AV141">
        <v>46</v>
      </c>
      <c r="AW141">
        <v>7</v>
      </c>
      <c r="AX141" t="s">
        <v>74</v>
      </c>
      <c r="AY141" t="s">
        <v>74</v>
      </c>
      <c r="AZ141" t="s">
        <v>74</v>
      </c>
      <c r="BA141" t="s">
        <v>74</v>
      </c>
      <c r="BB141">
        <v>1925</v>
      </c>
      <c r="BC141">
        <v>1939</v>
      </c>
      <c r="BD141" t="s">
        <v>74</v>
      </c>
      <c r="BE141" t="s">
        <v>1905</v>
      </c>
      <c r="BF141" t="str">
        <f>HYPERLINK("http://dx.doi.org/10.1109/TGRS.2008.916632","http://dx.doi.org/10.1109/TGRS.2008.916632")</f>
        <v>http://dx.doi.org/10.1109/TGRS.2008.916632</v>
      </c>
      <c r="BG141" t="s">
        <v>74</v>
      </c>
      <c r="BH141" t="s">
        <v>74</v>
      </c>
      <c r="BI141" t="s">
        <v>74</v>
      </c>
      <c r="BJ141" t="s">
        <v>74</v>
      </c>
      <c r="BK141" t="s">
        <v>74</v>
      </c>
      <c r="BL141" t="s">
        <v>74</v>
      </c>
      <c r="BM141" t="s">
        <v>74</v>
      </c>
      <c r="BN141" t="s">
        <v>74</v>
      </c>
      <c r="BO141" t="s">
        <v>74</v>
      </c>
      <c r="BP141" t="s">
        <v>74</v>
      </c>
      <c r="BQ141" t="s">
        <v>74</v>
      </c>
      <c r="BR141" t="s">
        <v>74</v>
      </c>
      <c r="BS141" t="s">
        <v>1906</v>
      </c>
      <c r="BT141" t="str">
        <f>HYPERLINK("https%3A%2F%2Fwww.webofscience.com%2Fwos%2Fwoscc%2Ffull-record%2FWOS:000257285200005","View Full Record in Web of Science")</f>
        <v>View Full Record in Web of Science</v>
      </c>
    </row>
    <row r="142" spans="1:72" x14ac:dyDescent="0.15">
      <c r="A142" t="s">
        <v>252</v>
      </c>
      <c r="B142" t="s">
        <v>1907</v>
      </c>
      <c r="C142" t="s">
        <v>74</v>
      </c>
      <c r="D142" t="s">
        <v>74</v>
      </c>
      <c r="E142" t="s">
        <v>254</v>
      </c>
      <c r="F142" t="s">
        <v>1908</v>
      </c>
      <c r="G142" t="s">
        <v>74</v>
      </c>
      <c r="H142" t="s">
        <v>74</v>
      </c>
      <c r="I142" t="s">
        <v>1909</v>
      </c>
      <c r="J142" t="s">
        <v>1910</v>
      </c>
      <c r="K142" t="s">
        <v>74</v>
      </c>
      <c r="L142" t="s">
        <v>74</v>
      </c>
      <c r="M142" t="s">
        <v>74</v>
      </c>
      <c r="N142" t="s">
        <v>74</v>
      </c>
      <c r="O142" t="s">
        <v>1911</v>
      </c>
      <c r="P142" t="s">
        <v>1912</v>
      </c>
      <c r="Q142" t="s">
        <v>1913</v>
      </c>
      <c r="R142" t="s">
        <v>254</v>
      </c>
      <c r="S142" t="s">
        <v>74</v>
      </c>
      <c r="T142" t="s">
        <v>74</v>
      </c>
      <c r="U142" t="s">
        <v>74</v>
      </c>
      <c r="V142" t="s">
        <v>1914</v>
      </c>
      <c r="W142" t="s">
        <v>74</v>
      </c>
      <c r="X142" t="s">
        <v>74</v>
      </c>
      <c r="Y142" t="s">
        <v>74</v>
      </c>
      <c r="Z142" t="s">
        <v>74</v>
      </c>
      <c r="AA142" t="s">
        <v>1915</v>
      </c>
      <c r="AB142" t="s">
        <v>1916</v>
      </c>
      <c r="AC142" t="s">
        <v>74</v>
      </c>
      <c r="AD142" t="s">
        <v>74</v>
      </c>
      <c r="AE142" t="s">
        <v>74</v>
      </c>
      <c r="AF142" t="s">
        <v>74</v>
      </c>
      <c r="AG142" t="s">
        <v>74</v>
      </c>
      <c r="AH142" t="s">
        <v>74</v>
      </c>
      <c r="AI142" t="s">
        <v>74</v>
      </c>
      <c r="AJ142" t="s">
        <v>74</v>
      </c>
      <c r="AK142" t="s">
        <v>74</v>
      </c>
      <c r="AL142" t="s">
        <v>74</v>
      </c>
      <c r="AM142" t="s">
        <v>74</v>
      </c>
      <c r="AN142" t="s">
        <v>74</v>
      </c>
      <c r="AO142" t="s">
        <v>74</v>
      </c>
      <c r="AP142" t="s">
        <v>74</v>
      </c>
      <c r="AQ142" t="s">
        <v>1917</v>
      </c>
      <c r="AR142" t="s">
        <v>74</v>
      </c>
      <c r="AS142" t="s">
        <v>74</v>
      </c>
      <c r="AT142" t="s">
        <v>74</v>
      </c>
      <c r="AU142">
        <v>2006</v>
      </c>
      <c r="AV142" t="s">
        <v>74</v>
      </c>
      <c r="AW142" t="s">
        <v>74</v>
      </c>
      <c r="AX142" t="s">
        <v>74</v>
      </c>
      <c r="AY142" t="s">
        <v>74</v>
      </c>
      <c r="AZ142" t="s">
        <v>74</v>
      </c>
      <c r="BA142" t="s">
        <v>74</v>
      </c>
      <c r="BB142">
        <v>154</v>
      </c>
      <c r="BC142" t="s">
        <v>1898</v>
      </c>
      <c r="BD142" t="s">
        <v>74</v>
      </c>
      <c r="BE142" t="s">
        <v>1918</v>
      </c>
      <c r="BF142" t="str">
        <f>HYPERLINK("http://dx.doi.org/10.1109/MICRAD.2006.1677080","http://dx.doi.org/10.1109/MICRAD.2006.1677080")</f>
        <v>http://dx.doi.org/10.1109/MICRAD.2006.1677080</v>
      </c>
      <c r="BG142" t="s">
        <v>74</v>
      </c>
      <c r="BH142" t="s">
        <v>74</v>
      </c>
      <c r="BI142" t="s">
        <v>74</v>
      </c>
      <c r="BJ142" t="s">
        <v>74</v>
      </c>
      <c r="BK142" t="s">
        <v>74</v>
      </c>
      <c r="BL142" t="s">
        <v>74</v>
      </c>
      <c r="BM142" t="s">
        <v>74</v>
      </c>
      <c r="BN142" t="s">
        <v>74</v>
      </c>
      <c r="BO142" t="s">
        <v>74</v>
      </c>
      <c r="BP142" t="s">
        <v>74</v>
      </c>
      <c r="BQ142" t="s">
        <v>74</v>
      </c>
      <c r="BR142" t="s">
        <v>74</v>
      </c>
      <c r="BS142" t="s">
        <v>1919</v>
      </c>
      <c r="BT142" t="str">
        <f>HYPERLINK("https%3A%2F%2Fwww.webofscience.com%2Fwos%2Fwoscc%2Ffull-record%2FWOS:000245203200029","View Full Record in Web of Science")</f>
        <v>View Full Record in Web of Science</v>
      </c>
    </row>
    <row r="143" spans="1:72" x14ac:dyDescent="0.15">
      <c r="A143" t="s">
        <v>252</v>
      </c>
      <c r="B143" t="s">
        <v>1920</v>
      </c>
      <c r="C143" t="s">
        <v>74</v>
      </c>
      <c r="D143" t="s">
        <v>74</v>
      </c>
      <c r="E143" t="s">
        <v>254</v>
      </c>
      <c r="F143" t="s">
        <v>1921</v>
      </c>
      <c r="G143" t="s">
        <v>74</v>
      </c>
      <c r="H143" t="s">
        <v>74</v>
      </c>
      <c r="I143" t="s">
        <v>1922</v>
      </c>
      <c r="J143" t="s">
        <v>1923</v>
      </c>
      <c r="K143" t="s">
        <v>915</v>
      </c>
      <c r="L143" t="s">
        <v>74</v>
      </c>
      <c r="M143" t="s">
        <v>74</v>
      </c>
      <c r="N143" t="s">
        <v>74</v>
      </c>
      <c r="O143" t="s">
        <v>388</v>
      </c>
      <c r="P143" t="s">
        <v>1924</v>
      </c>
      <c r="Q143" t="s">
        <v>1925</v>
      </c>
      <c r="R143" t="s">
        <v>1926</v>
      </c>
      <c r="S143" t="s">
        <v>74</v>
      </c>
      <c r="T143" t="s">
        <v>74</v>
      </c>
      <c r="U143" t="s">
        <v>74</v>
      </c>
      <c r="V143" t="s">
        <v>1927</v>
      </c>
      <c r="W143" t="s">
        <v>74</v>
      </c>
      <c r="X143" t="s">
        <v>74</v>
      </c>
      <c r="Y143" t="s">
        <v>74</v>
      </c>
      <c r="Z143" t="s">
        <v>74</v>
      </c>
      <c r="AA143" t="s">
        <v>1928</v>
      </c>
      <c r="AB143" t="s">
        <v>1929</v>
      </c>
      <c r="AC143" t="s">
        <v>74</v>
      </c>
      <c r="AD143" t="s">
        <v>74</v>
      </c>
      <c r="AE143" t="s">
        <v>74</v>
      </c>
      <c r="AF143" t="s">
        <v>74</v>
      </c>
      <c r="AG143" t="s">
        <v>74</v>
      </c>
      <c r="AH143" t="s">
        <v>74</v>
      </c>
      <c r="AI143" t="s">
        <v>74</v>
      </c>
      <c r="AJ143" t="s">
        <v>74</v>
      </c>
      <c r="AK143" t="s">
        <v>74</v>
      </c>
      <c r="AL143" t="s">
        <v>74</v>
      </c>
      <c r="AM143" t="s">
        <v>74</v>
      </c>
      <c r="AN143" t="s">
        <v>74</v>
      </c>
      <c r="AO143" t="s">
        <v>74</v>
      </c>
      <c r="AP143" t="s">
        <v>74</v>
      </c>
      <c r="AQ143" t="s">
        <v>1930</v>
      </c>
      <c r="AR143" t="s">
        <v>74</v>
      </c>
      <c r="AS143" t="s">
        <v>74</v>
      </c>
      <c r="AT143" t="s">
        <v>74</v>
      </c>
      <c r="AU143">
        <v>2006</v>
      </c>
      <c r="AV143" t="s">
        <v>74</v>
      </c>
      <c r="AW143" t="s">
        <v>74</v>
      </c>
      <c r="AX143" t="s">
        <v>74</v>
      </c>
      <c r="AY143" t="s">
        <v>74</v>
      </c>
      <c r="AZ143" t="s">
        <v>74</v>
      </c>
      <c r="BA143" t="s">
        <v>74</v>
      </c>
      <c r="BB143">
        <v>3659</v>
      </c>
      <c r="BC143">
        <v>3661</v>
      </c>
      <c r="BD143" t="s">
        <v>74</v>
      </c>
      <c r="BE143" t="s">
        <v>1931</v>
      </c>
      <c r="BF143" t="str">
        <f>HYPERLINK("http://dx.doi.org/10.1109/IGARSS.2006.937","http://dx.doi.org/10.1109/IGARSS.2006.937")</f>
        <v>http://dx.doi.org/10.1109/IGARSS.2006.937</v>
      </c>
      <c r="BG143" t="s">
        <v>74</v>
      </c>
      <c r="BH143" t="s">
        <v>74</v>
      </c>
      <c r="BI143" t="s">
        <v>74</v>
      </c>
      <c r="BJ143" t="s">
        <v>74</v>
      </c>
      <c r="BK143" t="s">
        <v>74</v>
      </c>
      <c r="BL143" t="s">
        <v>74</v>
      </c>
      <c r="BM143" t="s">
        <v>74</v>
      </c>
      <c r="BN143" t="s">
        <v>74</v>
      </c>
      <c r="BO143" t="s">
        <v>74</v>
      </c>
      <c r="BP143" t="s">
        <v>74</v>
      </c>
      <c r="BQ143" t="s">
        <v>74</v>
      </c>
      <c r="BR143" t="s">
        <v>74</v>
      </c>
      <c r="BS143" t="s">
        <v>1932</v>
      </c>
      <c r="BT143" t="str">
        <f>HYPERLINK("https%3A%2F%2Fwww.webofscience.com%2Fwos%2Fwoscc%2Ffull-record%2FWOS:000260989402123","View Full Record in Web of Science")</f>
        <v>View Full Record in Web of Science</v>
      </c>
    </row>
    <row r="144" spans="1:72" x14ac:dyDescent="0.15">
      <c r="A144" t="s">
        <v>252</v>
      </c>
      <c r="B144" t="s">
        <v>1933</v>
      </c>
      <c r="C144" t="s">
        <v>74</v>
      </c>
      <c r="D144" t="s">
        <v>74</v>
      </c>
      <c r="E144" t="s">
        <v>254</v>
      </c>
      <c r="F144" t="s">
        <v>1934</v>
      </c>
      <c r="G144" t="s">
        <v>74</v>
      </c>
      <c r="H144" t="s">
        <v>74</v>
      </c>
      <c r="I144" t="s">
        <v>1935</v>
      </c>
      <c r="J144" t="s">
        <v>1923</v>
      </c>
      <c r="K144" t="s">
        <v>258</v>
      </c>
      <c r="L144" t="s">
        <v>74</v>
      </c>
      <c r="M144" t="s">
        <v>74</v>
      </c>
      <c r="N144" t="s">
        <v>74</v>
      </c>
      <c r="O144" t="s">
        <v>388</v>
      </c>
      <c r="P144" t="s">
        <v>1924</v>
      </c>
      <c r="Q144" t="s">
        <v>1925</v>
      </c>
      <c r="R144" t="s">
        <v>1926</v>
      </c>
      <c r="S144" t="s">
        <v>74</v>
      </c>
      <c r="T144" t="s">
        <v>74</v>
      </c>
      <c r="U144" t="s">
        <v>74</v>
      </c>
      <c r="V144" t="s">
        <v>1936</v>
      </c>
      <c r="W144" t="s">
        <v>74</v>
      </c>
      <c r="X144" t="s">
        <v>74</v>
      </c>
      <c r="Y144" t="s">
        <v>74</v>
      </c>
      <c r="Z144" t="s">
        <v>74</v>
      </c>
      <c r="AA144" t="s">
        <v>1937</v>
      </c>
      <c r="AB144" t="s">
        <v>1938</v>
      </c>
      <c r="AC144" t="s">
        <v>74</v>
      </c>
      <c r="AD144" t="s">
        <v>74</v>
      </c>
      <c r="AE144" t="s">
        <v>74</v>
      </c>
      <c r="AF144" t="s">
        <v>74</v>
      </c>
      <c r="AG144" t="s">
        <v>74</v>
      </c>
      <c r="AH144" t="s">
        <v>74</v>
      </c>
      <c r="AI144" t="s">
        <v>74</v>
      </c>
      <c r="AJ144" t="s">
        <v>74</v>
      </c>
      <c r="AK144" t="s">
        <v>74</v>
      </c>
      <c r="AL144" t="s">
        <v>74</v>
      </c>
      <c r="AM144" t="s">
        <v>74</v>
      </c>
      <c r="AN144" t="s">
        <v>74</v>
      </c>
      <c r="AO144" t="s">
        <v>265</v>
      </c>
      <c r="AP144" t="s">
        <v>74</v>
      </c>
      <c r="AQ144" t="s">
        <v>1930</v>
      </c>
      <c r="AR144" t="s">
        <v>74</v>
      </c>
      <c r="AS144" t="s">
        <v>74</v>
      </c>
      <c r="AT144" t="s">
        <v>74</v>
      </c>
      <c r="AU144">
        <v>2006</v>
      </c>
      <c r="AV144" t="s">
        <v>74</v>
      </c>
      <c r="AW144" t="s">
        <v>74</v>
      </c>
      <c r="AX144" t="s">
        <v>74</v>
      </c>
      <c r="AY144" t="s">
        <v>74</v>
      </c>
      <c r="AZ144" t="s">
        <v>74</v>
      </c>
      <c r="BA144" t="s">
        <v>74</v>
      </c>
      <c r="BB144">
        <v>1709</v>
      </c>
      <c r="BC144" t="s">
        <v>1898</v>
      </c>
      <c r="BD144" t="s">
        <v>74</v>
      </c>
      <c r="BE144" t="s">
        <v>1939</v>
      </c>
      <c r="BF144" t="str">
        <f>HYPERLINK("http://dx.doi.org/10.1109/IGARSS.2006.442","http://dx.doi.org/10.1109/IGARSS.2006.442")</f>
        <v>http://dx.doi.org/10.1109/IGARSS.2006.442</v>
      </c>
      <c r="BG144" t="s">
        <v>74</v>
      </c>
      <c r="BH144" t="s">
        <v>74</v>
      </c>
      <c r="BI144" t="s">
        <v>74</v>
      </c>
      <c r="BJ144" t="s">
        <v>74</v>
      </c>
      <c r="BK144" t="s">
        <v>74</v>
      </c>
      <c r="BL144" t="s">
        <v>74</v>
      </c>
      <c r="BM144" t="s">
        <v>74</v>
      </c>
      <c r="BN144" t="s">
        <v>74</v>
      </c>
      <c r="BO144" t="s">
        <v>74</v>
      </c>
      <c r="BP144" t="s">
        <v>74</v>
      </c>
      <c r="BQ144" t="s">
        <v>74</v>
      </c>
      <c r="BR144" t="s">
        <v>74</v>
      </c>
      <c r="BS144" t="s">
        <v>1940</v>
      </c>
      <c r="BT144" t="str">
        <f>HYPERLINK("https%3A%2F%2Fwww.webofscience.com%2Fwos%2Fwoscc%2Ffull-record%2FWOS:000260989401034","View Full Record in Web of Science")</f>
        <v>View Full Record in Web of Science</v>
      </c>
    </row>
    <row r="145" spans="1:72" x14ac:dyDescent="0.15">
      <c r="A145" t="s">
        <v>252</v>
      </c>
      <c r="B145" t="s">
        <v>1941</v>
      </c>
      <c r="C145" t="s">
        <v>74</v>
      </c>
      <c r="D145" t="s">
        <v>74</v>
      </c>
      <c r="E145" t="s">
        <v>254</v>
      </c>
      <c r="F145" t="s">
        <v>1941</v>
      </c>
      <c r="G145" t="s">
        <v>74</v>
      </c>
      <c r="H145" t="s">
        <v>74</v>
      </c>
      <c r="I145" t="s">
        <v>1942</v>
      </c>
      <c r="J145" t="s">
        <v>1943</v>
      </c>
      <c r="K145" t="s">
        <v>915</v>
      </c>
      <c r="L145" t="s">
        <v>74</v>
      </c>
      <c r="M145" t="s">
        <v>74</v>
      </c>
      <c r="N145" t="s">
        <v>74</v>
      </c>
      <c r="O145" t="s">
        <v>1944</v>
      </c>
      <c r="P145" t="s">
        <v>1945</v>
      </c>
      <c r="Q145" t="s">
        <v>1946</v>
      </c>
      <c r="R145" t="s">
        <v>1947</v>
      </c>
      <c r="S145" t="s">
        <v>74</v>
      </c>
      <c r="T145" t="s">
        <v>74</v>
      </c>
      <c r="U145" t="s">
        <v>74</v>
      </c>
      <c r="V145" t="s">
        <v>1948</v>
      </c>
      <c r="W145" t="s">
        <v>74</v>
      </c>
      <c r="X145" t="s">
        <v>74</v>
      </c>
      <c r="Y145" t="s">
        <v>74</v>
      </c>
      <c r="Z145" t="s">
        <v>74</v>
      </c>
      <c r="AA145" t="s">
        <v>74</v>
      </c>
      <c r="AB145" t="s">
        <v>74</v>
      </c>
      <c r="AC145" t="s">
        <v>74</v>
      </c>
      <c r="AD145" t="s">
        <v>74</v>
      </c>
      <c r="AE145" t="s">
        <v>74</v>
      </c>
      <c r="AF145" t="s">
        <v>74</v>
      </c>
      <c r="AG145" t="s">
        <v>74</v>
      </c>
      <c r="AH145" t="s">
        <v>74</v>
      </c>
      <c r="AI145" t="s">
        <v>74</v>
      </c>
      <c r="AJ145" t="s">
        <v>74</v>
      </c>
      <c r="AK145" t="s">
        <v>74</v>
      </c>
      <c r="AL145" t="s">
        <v>74</v>
      </c>
      <c r="AM145" t="s">
        <v>74</v>
      </c>
      <c r="AN145" t="s">
        <v>74</v>
      </c>
      <c r="AO145" t="s">
        <v>74</v>
      </c>
      <c r="AP145" t="s">
        <v>74</v>
      </c>
      <c r="AQ145" t="s">
        <v>1949</v>
      </c>
      <c r="AR145" t="s">
        <v>74</v>
      </c>
      <c r="AS145" t="s">
        <v>74</v>
      </c>
      <c r="AT145" t="s">
        <v>74</v>
      </c>
      <c r="AU145">
        <v>2005</v>
      </c>
      <c r="AV145" t="s">
        <v>74</v>
      </c>
      <c r="AW145" t="s">
        <v>74</v>
      </c>
      <c r="AX145" t="s">
        <v>74</v>
      </c>
      <c r="AY145" t="s">
        <v>74</v>
      </c>
      <c r="AZ145" t="s">
        <v>74</v>
      </c>
      <c r="BA145" t="s">
        <v>74</v>
      </c>
      <c r="BB145">
        <v>1943</v>
      </c>
      <c r="BC145">
        <v>1946</v>
      </c>
      <c r="BD145" t="s">
        <v>74</v>
      </c>
      <c r="BE145" t="s">
        <v>74</v>
      </c>
      <c r="BF145" t="s">
        <v>74</v>
      </c>
      <c r="BG145" t="s">
        <v>74</v>
      </c>
      <c r="BH145" t="s">
        <v>74</v>
      </c>
      <c r="BI145" t="s">
        <v>74</v>
      </c>
      <c r="BJ145" t="s">
        <v>74</v>
      </c>
      <c r="BK145" t="s">
        <v>74</v>
      </c>
      <c r="BL145" t="s">
        <v>74</v>
      </c>
      <c r="BM145" t="s">
        <v>74</v>
      </c>
      <c r="BN145" t="s">
        <v>74</v>
      </c>
      <c r="BO145" t="s">
        <v>74</v>
      </c>
      <c r="BP145" t="s">
        <v>74</v>
      </c>
      <c r="BQ145" t="s">
        <v>74</v>
      </c>
      <c r="BR145" t="s">
        <v>74</v>
      </c>
      <c r="BS145" t="s">
        <v>1950</v>
      </c>
      <c r="BT145" t="str">
        <f>HYPERLINK("https%3A%2F%2Fwww.webofscience.com%2Fwos%2Fwoscc%2Ffull-record%2FWOS:000237237602115","View Full Record in Web of Science")</f>
        <v>View Full Record in Web of Science</v>
      </c>
    </row>
    <row r="146" spans="1:72" x14ac:dyDescent="0.15">
      <c r="A146" t="s">
        <v>72</v>
      </c>
      <c r="B146" t="s">
        <v>1951</v>
      </c>
      <c r="C146" t="s">
        <v>74</v>
      </c>
      <c r="D146" t="s">
        <v>74</v>
      </c>
      <c r="E146" t="s">
        <v>74</v>
      </c>
      <c r="F146" t="s">
        <v>1951</v>
      </c>
      <c r="G146" t="s">
        <v>74</v>
      </c>
      <c r="H146" t="s">
        <v>74</v>
      </c>
      <c r="I146" t="s">
        <v>1952</v>
      </c>
      <c r="J146" t="s">
        <v>122</v>
      </c>
      <c r="K146" t="s">
        <v>74</v>
      </c>
      <c r="L146" t="s">
        <v>74</v>
      </c>
      <c r="M146" t="s">
        <v>74</v>
      </c>
      <c r="N146" t="s">
        <v>74</v>
      </c>
      <c r="O146" t="s">
        <v>74</v>
      </c>
      <c r="P146" t="s">
        <v>74</v>
      </c>
      <c r="Q146" t="s">
        <v>74</v>
      </c>
      <c r="R146" t="s">
        <v>74</v>
      </c>
      <c r="S146" t="s">
        <v>74</v>
      </c>
      <c r="T146" t="s">
        <v>74</v>
      </c>
      <c r="U146" t="s">
        <v>74</v>
      </c>
      <c r="V146" t="s">
        <v>1953</v>
      </c>
      <c r="W146" t="s">
        <v>74</v>
      </c>
      <c r="X146" t="s">
        <v>74</v>
      </c>
      <c r="Y146" t="s">
        <v>74</v>
      </c>
      <c r="Z146" t="s">
        <v>74</v>
      </c>
      <c r="AA146" t="s">
        <v>1954</v>
      </c>
      <c r="AB146" t="s">
        <v>74</v>
      </c>
      <c r="AC146" t="s">
        <v>74</v>
      </c>
      <c r="AD146" t="s">
        <v>74</v>
      </c>
      <c r="AE146" t="s">
        <v>74</v>
      </c>
      <c r="AF146" t="s">
        <v>74</v>
      </c>
      <c r="AG146" t="s">
        <v>74</v>
      </c>
      <c r="AH146" t="s">
        <v>74</v>
      </c>
      <c r="AI146" t="s">
        <v>74</v>
      </c>
      <c r="AJ146" t="s">
        <v>74</v>
      </c>
      <c r="AK146" t="s">
        <v>74</v>
      </c>
      <c r="AL146" t="s">
        <v>74</v>
      </c>
      <c r="AM146" t="s">
        <v>74</v>
      </c>
      <c r="AN146" t="s">
        <v>74</v>
      </c>
      <c r="AO146" t="s">
        <v>126</v>
      </c>
      <c r="AP146" t="s">
        <v>127</v>
      </c>
      <c r="AQ146" t="s">
        <v>74</v>
      </c>
      <c r="AR146" t="s">
        <v>74</v>
      </c>
      <c r="AS146" t="s">
        <v>74</v>
      </c>
      <c r="AT146" t="s">
        <v>908</v>
      </c>
      <c r="AU146">
        <v>2004</v>
      </c>
      <c r="AV146">
        <v>93</v>
      </c>
      <c r="AW146">
        <v>4</v>
      </c>
      <c r="AX146" t="s">
        <v>74</v>
      </c>
      <c r="AY146" t="s">
        <v>74</v>
      </c>
      <c r="AZ146" t="s">
        <v>74</v>
      </c>
      <c r="BA146" t="s">
        <v>74</v>
      </c>
      <c r="BB146">
        <v>511</v>
      </c>
      <c r="BC146">
        <v>527</v>
      </c>
      <c r="BD146" t="s">
        <v>74</v>
      </c>
      <c r="BE146" t="s">
        <v>1955</v>
      </c>
      <c r="BF146" t="str">
        <f>HYPERLINK("http://dx.doi.org/10.1016/j.rse.2004.08.004","http://dx.doi.org/10.1016/j.rse.2004.08.004")</f>
        <v>http://dx.doi.org/10.1016/j.rse.2004.08.004</v>
      </c>
      <c r="BG146" t="s">
        <v>74</v>
      </c>
      <c r="BH146" t="s">
        <v>74</v>
      </c>
      <c r="BI146" t="s">
        <v>74</v>
      </c>
      <c r="BJ146" t="s">
        <v>74</v>
      </c>
      <c r="BK146" t="s">
        <v>74</v>
      </c>
      <c r="BL146" t="s">
        <v>74</v>
      </c>
      <c r="BM146" t="s">
        <v>74</v>
      </c>
      <c r="BN146" t="s">
        <v>74</v>
      </c>
      <c r="BO146" t="s">
        <v>74</v>
      </c>
      <c r="BP146" t="s">
        <v>74</v>
      </c>
      <c r="BQ146" t="s">
        <v>74</v>
      </c>
      <c r="BR146" t="s">
        <v>74</v>
      </c>
      <c r="BS146" t="s">
        <v>1956</v>
      </c>
      <c r="BT146" t="str">
        <f>HYPERLINK("https%3A%2F%2Fwww.webofscience.com%2Fwos%2Fwoscc%2Ffull-record%2FWOS:000225361100005","View Full Record in Web of Science")</f>
        <v>View Full Record in Web of Science</v>
      </c>
    </row>
    <row r="147" spans="1:72" x14ac:dyDescent="0.15">
      <c r="A147" t="s">
        <v>72</v>
      </c>
      <c r="B147" t="s">
        <v>1957</v>
      </c>
      <c r="C147" t="s">
        <v>74</v>
      </c>
      <c r="D147" t="s">
        <v>74</v>
      </c>
      <c r="E147" t="s">
        <v>74</v>
      </c>
      <c r="F147" t="s">
        <v>1957</v>
      </c>
      <c r="G147" t="s">
        <v>74</v>
      </c>
      <c r="H147" t="s">
        <v>74</v>
      </c>
      <c r="I147" t="s">
        <v>1958</v>
      </c>
      <c r="J147" t="s">
        <v>122</v>
      </c>
      <c r="K147" t="s">
        <v>74</v>
      </c>
      <c r="L147" t="s">
        <v>74</v>
      </c>
      <c r="M147" t="s">
        <v>74</v>
      </c>
      <c r="N147" t="s">
        <v>74</v>
      </c>
      <c r="O147" t="s">
        <v>74</v>
      </c>
      <c r="P147" t="s">
        <v>74</v>
      </c>
      <c r="Q147" t="s">
        <v>74</v>
      </c>
      <c r="R147" t="s">
        <v>74</v>
      </c>
      <c r="S147" t="s">
        <v>74</v>
      </c>
      <c r="T147" t="s">
        <v>74</v>
      </c>
      <c r="U147" t="s">
        <v>74</v>
      </c>
      <c r="V147" t="s">
        <v>1959</v>
      </c>
      <c r="W147" t="s">
        <v>74</v>
      </c>
      <c r="X147" t="s">
        <v>74</v>
      </c>
      <c r="Y147" t="s">
        <v>74</v>
      </c>
      <c r="Z147" t="s">
        <v>74</v>
      </c>
      <c r="AA147" t="s">
        <v>1960</v>
      </c>
      <c r="AB147" t="s">
        <v>1961</v>
      </c>
      <c r="AC147" t="s">
        <v>74</v>
      </c>
      <c r="AD147" t="s">
        <v>74</v>
      </c>
      <c r="AE147" t="s">
        <v>74</v>
      </c>
      <c r="AF147" t="s">
        <v>74</v>
      </c>
      <c r="AG147" t="s">
        <v>74</v>
      </c>
      <c r="AH147" t="s">
        <v>74</v>
      </c>
      <c r="AI147" t="s">
        <v>74</v>
      </c>
      <c r="AJ147" t="s">
        <v>74</v>
      </c>
      <c r="AK147" t="s">
        <v>74</v>
      </c>
      <c r="AL147" t="s">
        <v>74</v>
      </c>
      <c r="AM147" t="s">
        <v>74</v>
      </c>
      <c r="AN147" t="s">
        <v>74</v>
      </c>
      <c r="AO147" t="s">
        <v>126</v>
      </c>
      <c r="AP147" t="s">
        <v>74</v>
      </c>
      <c r="AQ147" t="s">
        <v>74</v>
      </c>
      <c r="AR147" t="s">
        <v>74</v>
      </c>
      <c r="AS147" t="s">
        <v>74</v>
      </c>
      <c r="AT147" t="s">
        <v>685</v>
      </c>
      <c r="AU147">
        <v>2004</v>
      </c>
      <c r="AV147">
        <v>90</v>
      </c>
      <c r="AW147">
        <v>1</v>
      </c>
      <c r="AX147" t="s">
        <v>74</v>
      </c>
      <c r="AY147" t="s">
        <v>74</v>
      </c>
      <c r="AZ147" t="s">
        <v>74</v>
      </c>
      <c r="BA147" t="s">
        <v>74</v>
      </c>
      <c r="BB147">
        <v>76</v>
      </c>
      <c r="BC147">
        <v>85</v>
      </c>
      <c r="BD147" t="s">
        <v>74</v>
      </c>
      <c r="BE147" t="s">
        <v>1962</v>
      </c>
      <c r="BF147" t="str">
        <f>HYPERLINK("http://dx.doi.org/10.1016/j.rse.2003.12.002","http://dx.doi.org/10.1016/j.rse.2003.12.002")</f>
        <v>http://dx.doi.org/10.1016/j.rse.2003.12.002</v>
      </c>
      <c r="BG147" t="s">
        <v>74</v>
      </c>
      <c r="BH147" t="s">
        <v>74</v>
      </c>
      <c r="BI147" t="s">
        <v>74</v>
      </c>
      <c r="BJ147" t="s">
        <v>74</v>
      </c>
      <c r="BK147" t="s">
        <v>74</v>
      </c>
      <c r="BL147" t="s">
        <v>74</v>
      </c>
      <c r="BM147" t="s">
        <v>74</v>
      </c>
      <c r="BN147" t="s">
        <v>74</v>
      </c>
      <c r="BO147" t="s">
        <v>74</v>
      </c>
      <c r="BP147" t="s">
        <v>74</v>
      </c>
      <c r="BQ147" t="s">
        <v>74</v>
      </c>
      <c r="BR147" t="s">
        <v>74</v>
      </c>
      <c r="BS147" t="s">
        <v>1963</v>
      </c>
      <c r="BT147" t="str">
        <f>HYPERLINK("https%3A%2F%2Fwww.webofscience.com%2Fwos%2Fwoscc%2Ffull-record%2FWOS:000189234300006","View Full Record in Web of Science")</f>
        <v>View Full Record in Web of Science</v>
      </c>
    </row>
    <row r="148" spans="1:72" x14ac:dyDescent="0.15">
      <c r="A148" t="s">
        <v>252</v>
      </c>
      <c r="B148" t="s">
        <v>1964</v>
      </c>
      <c r="C148" t="s">
        <v>74</v>
      </c>
      <c r="D148" t="s">
        <v>1965</v>
      </c>
      <c r="E148" t="s">
        <v>74</v>
      </c>
      <c r="F148" t="s">
        <v>1964</v>
      </c>
      <c r="G148" t="s">
        <v>74</v>
      </c>
      <c r="H148" t="s">
        <v>74</v>
      </c>
      <c r="I148" t="s">
        <v>1966</v>
      </c>
      <c r="J148" t="s">
        <v>1967</v>
      </c>
      <c r="K148" t="s">
        <v>1968</v>
      </c>
      <c r="L148" t="s">
        <v>74</v>
      </c>
      <c r="M148" t="s">
        <v>74</v>
      </c>
      <c r="N148" t="s">
        <v>74</v>
      </c>
      <c r="O148" t="s">
        <v>1969</v>
      </c>
      <c r="P148" t="s">
        <v>1970</v>
      </c>
      <c r="Q148" t="s">
        <v>1971</v>
      </c>
      <c r="R148" t="s">
        <v>1972</v>
      </c>
      <c r="S148" t="s">
        <v>74</v>
      </c>
      <c r="T148" t="s">
        <v>74</v>
      </c>
      <c r="U148" t="s">
        <v>74</v>
      </c>
      <c r="V148" t="s">
        <v>1973</v>
      </c>
      <c r="W148" t="s">
        <v>74</v>
      </c>
      <c r="X148" t="s">
        <v>74</v>
      </c>
      <c r="Y148" t="s">
        <v>74</v>
      </c>
      <c r="Z148" t="s">
        <v>74</v>
      </c>
      <c r="AA148" t="s">
        <v>1974</v>
      </c>
      <c r="AB148" t="s">
        <v>74</v>
      </c>
      <c r="AC148" t="s">
        <v>74</v>
      </c>
      <c r="AD148" t="s">
        <v>74</v>
      </c>
      <c r="AE148" t="s">
        <v>74</v>
      </c>
      <c r="AF148" t="s">
        <v>74</v>
      </c>
      <c r="AG148" t="s">
        <v>74</v>
      </c>
      <c r="AH148" t="s">
        <v>74</v>
      </c>
      <c r="AI148" t="s">
        <v>74</v>
      </c>
      <c r="AJ148" t="s">
        <v>74</v>
      </c>
      <c r="AK148" t="s">
        <v>74</v>
      </c>
      <c r="AL148" t="s">
        <v>74</v>
      </c>
      <c r="AM148" t="s">
        <v>74</v>
      </c>
      <c r="AN148" t="s">
        <v>74</v>
      </c>
      <c r="AO148" t="s">
        <v>1975</v>
      </c>
      <c r="AP148" t="s">
        <v>74</v>
      </c>
      <c r="AQ148" t="s">
        <v>1976</v>
      </c>
      <c r="AR148" t="s">
        <v>74</v>
      </c>
      <c r="AS148" t="s">
        <v>74</v>
      </c>
      <c r="AT148" t="s">
        <v>74</v>
      </c>
      <c r="AU148">
        <v>2004</v>
      </c>
      <c r="AV148">
        <v>235</v>
      </c>
      <c r="AW148" t="s">
        <v>74</v>
      </c>
      <c r="AX148" t="s">
        <v>74</v>
      </c>
      <c r="AY148" t="s">
        <v>74</v>
      </c>
      <c r="AZ148" t="s">
        <v>74</v>
      </c>
      <c r="BA148" t="s">
        <v>74</v>
      </c>
      <c r="BB148">
        <v>149</v>
      </c>
      <c r="BC148">
        <v>150</v>
      </c>
      <c r="BD148" t="s">
        <v>74</v>
      </c>
      <c r="BE148" t="s">
        <v>74</v>
      </c>
      <c r="BF148" t="s">
        <v>74</v>
      </c>
      <c r="BG148" t="s">
        <v>74</v>
      </c>
      <c r="BH148" t="s">
        <v>74</v>
      </c>
      <c r="BI148" t="s">
        <v>74</v>
      </c>
      <c r="BJ148" t="s">
        <v>74</v>
      </c>
      <c r="BK148" t="s">
        <v>74</v>
      </c>
      <c r="BL148" t="s">
        <v>74</v>
      </c>
      <c r="BM148" t="s">
        <v>74</v>
      </c>
      <c r="BN148" t="s">
        <v>74</v>
      </c>
      <c r="BO148" t="s">
        <v>74</v>
      </c>
      <c r="BP148" t="s">
        <v>74</v>
      </c>
      <c r="BQ148" t="s">
        <v>74</v>
      </c>
      <c r="BR148" t="s">
        <v>74</v>
      </c>
      <c r="BS148" t="s">
        <v>1977</v>
      </c>
      <c r="BT148" t="str">
        <f>HYPERLINK("https%3A%2F%2Fwww.webofscience.com%2Fwos%2Fwoscc%2Ffull-record%2FWOS:000226851200032","View Full Record in Web of Science")</f>
        <v>View Full Record in Web of Science</v>
      </c>
    </row>
    <row r="149" spans="1:72" x14ac:dyDescent="0.15">
      <c r="A149" t="s">
        <v>72</v>
      </c>
      <c r="B149" t="s">
        <v>1978</v>
      </c>
      <c r="C149" t="s">
        <v>74</v>
      </c>
      <c r="D149" t="s">
        <v>74</v>
      </c>
      <c r="E149" t="s">
        <v>74</v>
      </c>
      <c r="F149" t="s">
        <v>1978</v>
      </c>
      <c r="G149" t="s">
        <v>74</v>
      </c>
      <c r="H149" t="s">
        <v>74</v>
      </c>
      <c r="I149" t="s">
        <v>1979</v>
      </c>
      <c r="J149" t="s">
        <v>399</v>
      </c>
      <c r="K149" t="s">
        <v>74</v>
      </c>
      <c r="L149" t="s">
        <v>74</v>
      </c>
      <c r="M149" t="s">
        <v>74</v>
      </c>
      <c r="N149" t="s">
        <v>74</v>
      </c>
      <c r="O149" t="s">
        <v>74</v>
      </c>
      <c r="P149" t="s">
        <v>74</v>
      </c>
      <c r="Q149" t="s">
        <v>74</v>
      </c>
      <c r="R149" t="s">
        <v>74</v>
      </c>
      <c r="S149" t="s">
        <v>74</v>
      </c>
      <c r="T149" t="s">
        <v>74</v>
      </c>
      <c r="U149" t="s">
        <v>74</v>
      </c>
      <c r="V149" t="s">
        <v>1980</v>
      </c>
      <c r="W149" t="s">
        <v>74</v>
      </c>
      <c r="X149" t="s">
        <v>74</v>
      </c>
      <c r="Y149" t="s">
        <v>74</v>
      </c>
      <c r="Z149" t="s">
        <v>74</v>
      </c>
      <c r="AA149" t="s">
        <v>1981</v>
      </c>
      <c r="AB149" t="s">
        <v>1870</v>
      </c>
      <c r="AC149" t="s">
        <v>74</v>
      </c>
      <c r="AD149" t="s">
        <v>74</v>
      </c>
      <c r="AE149" t="s">
        <v>74</v>
      </c>
      <c r="AF149" t="s">
        <v>74</v>
      </c>
      <c r="AG149" t="s">
        <v>74</v>
      </c>
      <c r="AH149" t="s">
        <v>74</v>
      </c>
      <c r="AI149" t="s">
        <v>74</v>
      </c>
      <c r="AJ149" t="s">
        <v>74</v>
      </c>
      <c r="AK149" t="s">
        <v>74</v>
      </c>
      <c r="AL149" t="s">
        <v>74</v>
      </c>
      <c r="AM149" t="s">
        <v>74</v>
      </c>
      <c r="AN149" t="s">
        <v>74</v>
      </c>
      <c r="AO149" t="s">
        <v>403</v>
      </c>
      <c r="AP149" t="s">
        <v>404</v>
      </c>
      <c r="AQ149" t="s">
        <v>74</v>
      </c>
      <c r="AR149" t="s">
        <v>74</v>
      </c>
      <c r="AS149" t="s">
        <v>74</v>
      </c>
      <c r="AT149" t="s">
        <v>190</v>
      </c>
      <c r="AU149">
        <v>2003</v>
      </c>
      <c r="AV149">
        <v>4</v>
      </c>
      <c r="AW149">
        <v>2</v>
      </c>
      <c r="AX149" t="s">
        <v>74</v>
      </c>
      <c r="AY149" t="s">
        <v>74</v>
      </c>
      <c r="AZ149" t="s">
        <v>74</v>
      </c>
      <c r="BA149" t="s">
        <v>74</v>
      </c>
      <c r="BB149">
        <v>304</v>
      </c>
      <c r="BC149">
        <v>316</v>
      </c>
      <c r="BD149" t="s">
        <v>74</v>
      </c>
      <c r="BE149" t="s">
        <v>1982</v>
      </c>
      <c r="BF149" t="str">
        <f>HYPERLINK("http://dx.doi.org/10.1175/1525-7541(2003)4&lt;304:CSAIDF&gt;2.0.CO;2","http://dx.doi.org/10.1175/1525-7541(2003)4&lt;304:CSAIDF&gt;2.0.CO;2")</f>
        <v>http://dx.doi.org/10.1175/1525-7541(2003)4&lt;304:CSAIDF&gt;2.0.CO;2</v>
      </c>
      <c r="BG149" t="s">
        <v>74</v>
      </c>
      <c r="BH149" t="s">
        <v>74</v>
      </c>
      <c r="BI149" t="s">
        <v>74</v>
      </c>
      <c r="BJ149" t="s">
        <v>74</v>
      </c>
      <c r="BK149" t="s">
        <v>74</v>
      </c>
      <c r="BL149" t="s">
        <v>74</v>
      </c>
      <c r="BM149" t="s">
        <v>74</v>
      </c>
      <c r="BN149" t="s">
        <v>74</v>
      </c>
      <c r="BO149" t="s">
        <v>74</v>
      </c>
      <c r="BP149" t="s">
        <v>74</v>
      </c>
      <c r="BQ149" t="s">
        <v>74</v>
      </c>
      <c r="BR149" t="s">
        <v>74</v>
      </c>
      <c r="BS149" t="s">
        <v>1983</v>
      </c>
      <c r="BT149" t="str">
        <f>HYPERLINK("https%3A%2F%2Fwww.webofscience.com%2Fwos%2Fwoscc%2Ffull-record%2FWOS:000182276800011","View Full Record in Web of Science")</f>
        <v>View Full Record in Web of Science</v>
      </c>
    </row>
    <row r="150" spans="1:72" x14ac:dyDescent="0.15">
      <c r="A150" t="s">
        <v>72</v>
      </c>
      <c r="B150" t="s">
        <v>1984</v>
      </c>
      <c r="C150" t="s">
        <v>74</v>
      </c>
      <c r="D150" t="s">
        <v>74</v>
      </c>
      <c r="E150" t="s">
        <v>74</v>
      </c>
      <c r="F150" t="s">
        <v>1984</v>
      </c>
      <c r="G150" t="s">
        <v>74</v>
      </c>
      <c r="H150" t="s">
        <v>74</v>
      </c>
      <c r="I150" t="s">
        <v>1985</v>
      </c>
      <c r="J150" t="s">
        <v>1986</v>
      </c>
      <c r="K150" t="s">
        <v>74</v>
      </c>
      <c r="L150" t="s">
        <v>74</v>
      </c>
      <c r="M150" t="s">
        <v>74</v>
      </c>
      <c r="N150" t="s">
        <v>74</v>
      </c>
      <c r="O150" t="s">
        <v>1987</v>
      </c>
      <c r="P150" t="s">
        <v>1988</v>
      </c>
      <c r="Q150" t="s">
        <v>1989</v>
      </c>
      <c r="R150" t="s">
        <v>74</v>
      </c>
      <c r="S150" t="s">
        <v>74</v>
      </c>
      <c r="T150" t="s">
        <v>74</v>
      </c>
      <c r="U150" t="s">
        <v>74</v>
      </c>
      <c r="V150" t="s">
        <v>1990</v>
      </c>
      <c r="W150" t="s">
        <v>74</v>
      </c>
      <c r="X150" t="s">
        <v>74</v>
      </c>
      <c r="Y150" t="s">
        <v>74</v>
      </c>
      <c r="Z150" t="s">
        <v>74</v>
      </c>
      <c r="AA150" t="s">
        <v>74</v>
      </c>
      <c r="AB150" t="s">
        <v>74</v>
      </c>
      <c r="AC150" t="s">
        <v>74</v>
      </c>
      <c r="AD150" t="s">
        <v>74</v>
      </c>
      <c r="AE150" t="s">
        <v>74</v>
      </c>
      <c r="AF150" t="s">
        <v>74</v>
      </c>
      <c r="AG150" t="s">
        <v>74</v>
      </c>
      <c r="AH150" t="s">
        <v>74</v>
      </c>
      <c r="AI150" t="s">
        <v>74</v>
      </c>
      <c r="AJ150" t="s">
        <v>74</v>
      </c>
      <c r="AK150" t="s">
        <v>74</v>
      </c>
      <c r="AL150" t="s">
        <v>74</v>
      </c>
      <c r="AM150" t="s">
        <v>74</v>
      </c>
      <c r="AN150" t="s">
        <v>74</v>
      </c>
      <c r="AO150" t="s">
        <v>1991</v>
      </c>
      <c r="AP150" t="s">
        <v>74</v>
      </c>
      <c r="AQ150" t="s">
        <v>74</v>
      </c>
      <c r="AR150" t="s">
        <v>74</v>
      </c>
      <c r="AS150" t="s">
        <v>74</v>
      </c>
      <c r="AT150" t="s">
        <v>74</v>
      </c>
      <c r="AU150">
        <v>2003</v>
      </c>
      <c r="AV150">
        <v>48</v>
      </c>
      <c r="AW150">
        <v>9</v>
      </c>
      <c r="AX150" t="s">
        <v>74</v>
      </c>
      <c r="AY150" t="s">
        <v>74</v>
      </c>
      <c r="AZ150" t="s">
        <v>74</v>
      </c>
      <c r="BA150" t="s">
        <v>74</v>
      </c>
      <c r="BB150">
        <v>155</v>
      </c>
      <c r="BC150">
        <v>164</v>
      </c>
      <c r="BD150" t="s">
        <v>74</v>
      </c>
      <c r="BE150" t="s">
        <v>1992</v>
      </c>
      <c r="BF150" t="str">
        <f>HYPERLINK("http://dx.doi.org/10.2166/wst.2003.0515","http://dx.doi.org/10.2166/wst.2003.0515")</f>
        <v>http://dx.doi.org/10.2166/wst.2003.0515</v>
      </c>
      <c r="BG150" t="s">
        <v>74</v>
      </c>
      <c r="BH150" t="s">
        <v>74</v>
      </c>
      <c r="BI150" t="s">
        <v>74</v>
      </c>
      <c r="BJ150" t="s">
        <v>74</v>
      </c>
      <c r="BK150" t="s">
        <v>74</v>
      </c>
      <c r="BL150" t="s">
        <v>74</v>
      </c>
      <c r="BM150" t="s">
        <v>74</v>
      </c>
      <c r="BN150">
        <v>14703149</v>
      </c>
      <c r="BO150" t="s">
        <v>74</v>
      </c>
      <c r="BP150" t="s">
        <v>74</v>
      </c>
      <c r="BQ150" t="s">
        <v>74</v>
      </c>
      <c r="BR150" t="s">
        <v>74</v>
      </c>
      <c r="BS150" t="s">
        <v>1993</v>
      </c>
      <c r="BT150" t="str">
        <f>HYPERLINK("https%3A%2F%2Fwww.webofscience.com%2Fwos%2Fwoscc%2Ffull-record%2FWOS:000187915400016","View Full Record in Web of Science")</f>
        <v>View Full Record in Web of Science</v>
      </c>
    </row>
    <row r="151" spans="1:72" x14ac:dyDescent="0.15">
      <c r="A151" t="s">
        <v>252</v>
      </c>
      <c r="B151" t="s">
        <v>1994</v>
      </c>
      <c r="C151" t="s">
        <v>74</v>
      </c>
      <c r="D151" t="s">
        <v>74</v>
      </c>
      <c r="E151" t="s">
        <v>1995</v>
      </c>
      <c r="F151" t="s">
        <v>1994</v>
      </c>
      <c r="G151" t="s">
        <v>74</v>
      </c>
      <c r="H151" t="s">
        <v>74</v>
      </c>
      <c r="I151" t="s">
        <v>1996</v>
      </c>
      <c r="J151" t="s">
        <v>1997</v>
      </c>
      <c r="K151" t="s">
        <v>915</v>
      </c>
      <c r="L151" t="s">
        <v>74</v>
      </c>
      <c r="M151" t="s">
        <v>74</v>
      </c>
      <c r="N151" t="s">
        <v>74</v>
      </c>
      <c r="O151" t="s">
        <v>1998</v>
      </c>
      <c r="P151" t="s">
        <v>1999</v>
      </c>
      <c r="Q151" t="s">
        <v>2000</v>
      </c>
      <c r="R151" t="s">
        <v>2001</v>
      </c>
      <c r="S151" t="s">
        <v>74</v>
      </c>
      <c r="T151" t="s">
        <v>74</v>
      </c>
      <c r="U151" t="s">
        <v>74</v>
      </c>
      <c r="V151" t="s">
        <v>2002</v>
      </c>
      <c r="W151" t="s">
        <v>74</v>
      </c>
      <c r="X151" t="s">
        <v>74</v>
      </c>
      <c r="Y151" t="s">
        <v>74</v>
      </c>
      <c r="Z151" t="s">
        <v>74</v>
      </c>
      <c r="AA151" t="s">
        <v>74</v>
      </c>
      <c r="AB151" t="s">
        <v>74</v>
      </c>
      <c r="AC151" t="s">
        <v>74</v>
      </c>
      <c r="AD151" t="s">
        <v>74</v>
      </c>
      <c r="AE151" t="s">
        <v>74</v>
      </c>
      <c r="AF151" t="s">
        <v>74</v>
      </c>
      <c r="AG151" t="s">
        <v>74</v>
      </c>
      <c r="AH151" t="s">
        <v>74</v>
      </c>
      <c r="AI151" t="s">
        <v>74</v>
      </c>
      <c r="AJ151" t="s">
        <v>74</v>
      </c>
      <c r="AK151" t="s">
        <v>74</v>
      </c>
      <c r="AL151" t="s">
        <v>74</v>
      </c>
      <c r="AM151" t="s">
        <v>74</v>
      </c>
      <c r="AN151" t="s">
        <v>74</v>
      </c>
      <c r="AO151" t="s">
        <v>74</v>
      </c>
      <c r="AP151" t="s">
        <v>74</v>
      </c>
      <c r="AQ151" t="s">
        <v>2003</v>
      </c>
      <c r="AR151" t="s">
        <v>74</v>
      </c>
      <c r="AS151" t="s">
        <v>74</v>
      </c>
      <c r="AT151" t="s">
        <v>74</v>
      </c>
      <c r="AU151">
        <v>2002</v>
      </c>
      <c r="AV151" t="s">
        <v>74</v>
      </c>
      <c r="AW151" t="s">
        <v>74</v>
      </c>
      <c r="AX151" t="s">
        <v>74</v>
      </c>
      <c r="AY151" t="s">
        <v>74</v>
      </c>
      <c r="AZ151" t="s">
        <v>74</v>
      </c>
      <c r="BA151" t="s">
        <v>74</v>
      </c>
      <c r="BB151">
        <v>454</v>
      </c>
      <c r="BC151">
        <v>456</v>
      </c>
      <c r="BD151" t="s">
        <v>74</v>
      </c>
      <c r="BE151" t="s">
        <v>74</v>
      </c>
      <c r="BF151" t="s">
        <v>74</v>
      </c>
      <c r="BG151" t="s">
        <v>74</v>
      </c>
      <c r="BH151" t="s">
        <v>74</v>
      </c>
      <c r="BI151" t="s">
        <v>74</v>
      </c>
      <c r="BJ151" t="s">
        <v>74</v>
      </c>
      <c r="BK151" t="s">
        <v>74</v>
      </c>
      <c r="BL151" t="s">
        <v>74</v>
      </c>
      <c r="BM151" t="s">
        <v>74</v>
      </c>
      <c r="BN151" t="s">
        <v>74</v>
      </c>
      <c r="BO151" t="s">
        <v>74</v>
      </c>
      <c r="BP151" t="s">
        <v>74</v>
      </c>
      <c r="BQ151" t="s">
        <v>74</v>
      </c>
      <c r="BR151" t="s">
        <v>74</v>
      </c>
      <c r="BS151" t="s">
        <v>2004</v>
      </c>
      <c r="BT151" t="str">
        <f>HYPERLINK("https%3A%2F%2Fwww.webofscience.com%2Fwos%2Fwoscc%2Ffull-record%2FWOS:000179116800150","View Full Record in Web of Science")</f>
        <v>View Full Record in Web of Science</v>
      </c>
    </row>
    <row r="152" spans="1:72" x14ac:dyDescent="0.15">
      <c r="A152" t="s">
        <v>72</v>
      </c>
      <c r="B152" t="s">
        <v>2005</v>
      </c>
      <c r="C152" t="s">
        <v>74</v>
      </c>
      <c r="D152" t="s">
        <v>74</v>
      </c>
      <c r="E152" t="s">
        <v>74</v>
      </c>
      <c r="F152" t="s">
        <v>2005</v>
      </c>
      <c r="G152" t="s">
        <v>74</v>
      </c>
      <c r="H152" t="s">
        <v>74</v>
      </c>
      <c r="I152" t="s">
        <v>2006</v>
      </c>
      <c r="J152" t="s">
        <v>96</v>
      </c>
      <c r="K152" t="s">
        <v>74</v>
      </c>
      <c r="L152" t="s">
        <v>74</v>
      </c>
      <c r="M152" t="s">
        <v>74</v>
      </c>
      <c r="N152" t="s">
        <v>74</v>
      </c>
      <c r="O152" t="s">
        <v>74</v>
      </c>
      <c r="P152" t="s">
        <v>74</v>
      </c>
      <c r="Q152" t="s">
        <v>74</v>
      </c>
      <c r="R152" t="s">
        <v>74</v>
      </c>
      <c r="S152" t="s">
        <v>74</v>
      </c>
      <c r="T152" t="s">
        <v>74</v>
      </c>
      <c r="U152" t="s">
        <v>74</v>
      </c>
      <c r="V152" t="s">
        <v>2007</v>
      </c>
      <c r="W152" t="s">
        <v>74</v>
      </c>
      <c r="X152" t="s">
        <v>74</v>
      </c>
      <c r="Y152" t="s">
        <v>74</v>
      </c>
      <c r="Z152" t="s">
        <v>74</v>
      </c>
      <c r="AA152" t="s">
        <v>74</v>
      </c>
      <c r="AB152" t="s">
        <v>74</v>
      </c>
      <c r="AC152" t="s">
        <v>74</v>
      </c>
      <c r="AD152" t="s">
        <v>74</v>
      </c>
      <c r="AE152" t="s">
        <v>74</v>
      </c>
      <c r="AF152" t="s">
        <v>74</v>
      </c>
      <c r="AG152" t="s">
        <v>74</v>
      </c>
      <c r="AH152" t="s">
        <v>74</v>
      </c>
      <c r="AI152" t="s">
        <v>74</v>
      </c>
      <c r="AJ152" t="s">
        <v>74</v>
      </c>
      <c r="AK152" t="s">
        <v>74</v>
      </c>
      <c r="AL152" t="s">
        <v>74</v>
      </c>
      <c r="AM152" t="s">
        <v>74</v>
      </c>
      <c r="AN152" t="s">
        <v>74</v>
      </c>
      <c r="AO152" t="s">
        <v>99</v>
      </c>
      <c r="AP152" t="s">
        <v>74</v>
      </c>
      <c r="AQ152" t="s">
        <v>74</v>
      </c>
      <c r="AR152" t="s">
        <v>74</v>
      </c>
      <c r="AS152" t="s">
        <v>74</v>
      </c>
      <c r="AT152" t="s">
        <v>464</v>
      </c>
      <c r="AU152">
        <v>2001</v>
      </c>
      <c r="AV152">
        <v>39</v>
      </c>
      <c r="AW152">
        <v>10</v>
      </c>
      <c r="AX152" t="s">
        <v>74</v>
      </c>
      <c r="AY152" t="s">
        <v>74</v>
      </c>
      <c r="AZ152" t="s">
        <v>74</v>
      </c>
      <c r="BA152" t="s">
        <v>74</v>
      </c>
      <c r="BB152">
        <v>2135</v>
      </c>
      <c r="BC152">
        <v>2147</v>
      </c>
      <c r="BD152" t="s">
        <v>74</v>
      </c>
      <c r="BE152" t="s">
        <v>2008</v>
      </c>
      <c r="BF152" t="str">
        <f>HYPERLINK("http://dx.doi.org/10.1109/36.957276","http://dx.doi.org/10.1109/36.957276")</f>
        <v>http://dx.doi.org/10.1109/36.957276</v>
      </c>
      <c r="BG152" t="s">
        <v>74</v>
      </c>
      <c r="BH152" t="s">
        <v>74</v>
      </c>
      <c r="BI152" t="s">
        <v>74</v>
      </c>
      <c r="BJ152" t="s">
        <v>74</v>
      </c>
      <c r="BK152" t="s">
        <v>74</v>
      </c>
      <c r="BL152" t="s">
        <v>74</v>
      </c>
      <c r="BM152" t="s">
        <v>74</v>
      </c>
      <c r="BN152" t="s">
        <v>74</v>
      </c>
      <c r="BO152" t="s">
        <v>74</v>
      </c>
      <c r="BP152" t="s">
        <v>74</v>
      </c>
      <c r="BQ152" t="s">
        <v>74</v>
      </c>
      <c r="BR152" t="s">
        <v>74</v>
      </c>
      <c r="BS152" t="s">
        <v>2009</v>
      </c>
      <c r="BT152" t="str">
        <f>HYPERLINK("https%3A%2F%2Fwww.webofscience.com%2Fwos%2Fwoscc%2Ffull-record%2FWOS:000171680400005","View Full Record in Web of Science")</f>
        <v>View Full Record in Web of Science</v>
      </c>
    </row>
    <row r="153" spans="1:72" x14ac:dyDescent="0.15">
      <c r="A153" t="s">
        <v>72</v>
      </c>
      <c r="B153" t="s">
        <v>2010</v>
      </c>
      <c r="C153" t="s">
        <v>74</v>
      </c>
      <c r="D153" t="s">
        <v>74</v>
      </c>
      <c r="E153" t="s">
        <v>74</v>
      </c>
      <c r="F153" t="s">
        <v>2010</v>
      </c>
      <c r="G153" t="s">
        <v>74</v>
      </c>
      <c r="H153" t="s">
        <v>74</v>
      </c>
      <c r="I153" t="s">
        <v>2011</v>
      </c>
      <c r="J153" t="s">
        <v>96</v>
      </c>
      <c r="K153" t="s">
        <v>74</v>
      </c>
      <c r="L153" t="s">
        <v>74</v>
      </c>
      <c r="M153" t="s">
        <v>74</v>
      </c>
      <c r="N153" t="s">
        <v>74</v>
      </c>
      <c r="O153" t="s">
        <v>74</v>
      </c>
      <c r="P153" t="s">
        <v>74</v>
      </c>
      <c r="Q153" t="s">
        <v>74</v>
      </c>
      <c r="R153" t="s">
        <v>74</v>
      </c>
      <c r="S153" t="s">
        <v>74</v>
      </c>
      <c r="T153" t="s">
        <v>74</v>
      </c>
      <c r="U153" t="s">
        <v>74</v>
      </c>
      <c r="V153" t="s">
        <v>2012</v>
      </c>
      <c r="W153" t="s">
        <v>74</v>
      </c>
      <c r="X153" t="s">
        <v>74</v>
      </c>
      <c r="Y153" t="s">
        <v>74</v>
      </c>
      <c r="Z153" t="s">
        <v>74</v>
      </c>
      <c r="AA153" t="s">
        <v>2013</v>
      </c>
      <c r="AB153" t="s">
        <v>2014</v>
      </c>
      <c r="AC153" t="s">
        <v>74</v>
      </c>
      <c r="AD153" t="s">
        <v>74</v>
      </c>
      <c r="AE153" t="s">
        <v>74</v>
      </c>
      <c r="AF153" t="s">
        <v>74</v>
      </c>
      <c r="AG153" t="s">
        <v>74</v>
      </c>
      <c r="AH153" t="s">
        <v>74</v>
      </c>
      <c r="AI153" t="s">
        <v>74</v>
      </c>
      <c r="AJ153" t="s">
        <v>74</v>
      </c>
      <c r="AK153" t="s">
        <v>74</v>
      </c>
      <c r="AL153" t="s">
        <v>74</v>
      </c>
      <c r="AM153" t="s">
        <v>74</v>
      </c>
      <c r="AN153" t="s">
        <v>74</v>
      </c>
      <c r="AO153" t="s">
        <v>99</v>
      </c>
      <c r="AP153" t="s">
        <v>100</v>
      </c>
      <c r="AQ153" t="s">
        <v>74</v>
      </c>
      <c r="AR153" t="s">
        <v>74</v>
      </c>
      <c r="AS153" t="s">
        <v>74</v>
      </c>
      <c r="AT153" t="s">
        <v>666</v>
      </c>
      <c r="AU153">
        <v>2001</v>
      </c>
      <c r="AV153">
        <v>39</v>
      </c>
      <c r="AW153">
        <v>8</v>
      </c>
      <c r="AX153" t="s">
        <v>74</v>
      </c>
      <c r="AY153" t="s">
        <v>74</v>
      </c>
      <c r="AZ153" t="s">
        <v>74</v>
      </c>
      <c r="BA153" t="s">
        <v>74</v>
      </c>
      <c r="BB153">
        <v>1744</v>
      </c>
      <c r="BC153">
        <v>1756</v>
      </c>
      <c r="BD153" t="s">
        <v>74</v>
      </c>
      <c r="BE153" t="s">
        <v>2015</v>
      </c>
      <c r="BF153" t="str">
        <f>HYPERLINK("http://dx.doi.org/10.1109/36.942553","http://dx.doi.org/10.1109/36.942553")</f>
        <v>http://dx.doi.org/10.1109/36.942553</v>
      </c>
      <c r="BG153" t="s">
        <v>74</v>
      </c>
      <c r="BH153" t="s">
        <v>74</v>
      </c>
      <c r="BI153" t="s">
        <v>74</v>
      </c>
      <c r="BJ153" t="s">
        <v>74</v>
      </c>
      <c r="BK153" t="s">
        <v>74</v>
      </c>
      <c r="BL153" t="s">
        <v>74</v>
      </c>
      <c r="BM153" t="s">
        <v>74</v>
      </c>
      <c r="BN153" t="s">
        <v>74</v>
      </c>
      <c r="BO153" t="s">
        <v>74</v>
      </c>
      <c r="BP153" t="s">
        <v>74</v>
      </c>
      <c r="BQ153" t="s">
        <v>74</v>
      </c>
      <c r="BR153" t="s">
        <v>74</v>
      </c>
      <c r="BS153" t="s">
        <v>2016</v>
      </c>
      <c r="BT153" t="str">
        <f>HYPERLINK("https%3A%2F%2Fwww.webofscience.com%2Fwos%2Fwoscc%2Ffull-record%2FWOS:000170682500015","View Full Record in Web of Science")</f>
        <v>View Full Record in Web of Science</v>
      </c>
    </row>
    <row r="154" spans="1:72" x14ac:dyDescent="0.15">
      <c r="A154" t="s">
        <v>252</v>
      </c>
      <c r="B154" t="s">
        <v>2017</v>
      </c>
      <c r="C154" t="s">
        <v>74</v>
      </c>
      <c r="D154" t="s">
        <v>912</v>
      </c>
      <c r="E154" t="s">
        <v>74</v>
      </c>
      <c r="F154" t="s">
        <v>2017</v>
      </c>
      <c r="G154" t="s">
        <v>74</v>
      </c>
      <c r="H154" t="s">
        <v>74</v>
      </c>
      <c r="I154" t="s">
        <v>2018</v>
      </c>
      <c r="J154" t="s">
        <v>2019</v>
      </c>
      <c r="K154" t="s">
        <v>258</v>
      </c>
      <c r="L154" t="s">
        <v>74</v>
      </c>
      <c r="M154" t="s">
        <v>74</v>
      </c>
      <c r="N154" t="s">
        <v>74</v>
      </c>
      <c r="O154" t="s">
        <v>1891</v>
      </c>
      <c r="P154" t="s">
        <v>2020</v>
      </c>
      <c r="Q154" t="s">
        <v>2021</v>
      </c>
      <c r="R154" t="s">
        <v>2022</v>
      </c>
      <c r="S154" t="s">
        <v>74</v>
      </c>
      <c r="T154" t="s">
        <v>74</v>
      </c>
      <c r="U154" t="s">
        <v>74</v>
      </c>
      <c r="V154" t="s">
        <v>2023</v>
      </c>
      <c r="W154" t="s">
        <v>74</v>
      </c>
      <c r="X154" t="s">
        <v>74</v>
      </c>
      <c r="Y154" t="s">
        <v>74</v>
      </c>
      <c r="Z154" t="s">
        <v>74</v>
      </c>
      <c r="AA154" t="s">
        <v>2024</v>
      </c>
      <c r="AB154" t="s">
        <v>2025</v>
      </c>
      <c r="AC154" t="s">
        <v>74</v>
      </c>
      <c r="AD154" t="s">
        <v>74</v>
      </c>
      <c r="AE154" t="s">
        <v>74</v>
      </c>
      <c r="AF154" t="s">
        <v>74</v>
      </c>
      <c r="AG154" t="s">
        <v>74</v>
      </c>
      <c r="AH154" t="s">
        <v>74</v>
      </c>
      <c r="AI154" t="s">
        <v>74</v>
      </c>
      <c r="AJ154" t="s">
        <v>74</v>
      </c>
      <c r="AK154" t="s">
        <v>74</v>
      </c>
      <c r="AL154" t="s">
        <v>74</v>
      </c>
      <c r="AM154" t="s">
        <v>74</v>
      </c>
      <c r="AN154" t="s">
        <v>74</v>
      </c>
      <c r="AO154" t="s">
        <v>265</v>
      </c>
      <c r="AP154" t="s">
        <v>74</v>
      </c>
      <c r="AQ154" t="s">
        <v>2026</v>
      </c>
      <c r="AR154" t="s">
        <v>74</v>
      </c>
      <c r="AS154" t="s">
        <v>74</v>
      </c>
      <c r="AT154" t="s">
        <v>74</v>
      </c>
      <c r="AU154">
        <v>2000</v>
      </c>
      <c r="AV154" t="s">
        <v>74</v>
      </c>
      <c r="AW154" t="s">
        <v>74</v>
      </c>
      <c r="AX154" t="s">
        <v>74</v>
      </c>
      <c r="AY154" t="s">
        <v>74</v>
      </c>
      <c r="AZ154" t="s">
        <v>74</v>
      </c>
      <c r="BA154" t="s">
        <v>74</v>
      </c>
      <c r="BB154">
        <v>1522</v>
      </c>
      <c r="BC154">
        <v>1524</v>
      </c>
      <c r="BD154" t="s">
        <v>74</v>
      </c>
      <c r="BE154" t="s">
        <v>74</v>
      </c>
      <c r="BF154" t="s">
        <v>74</v>
      </c>
      <c r="BG154" t="s">
        <v>74</v>
      </c>
      <c r="BH154" t="s">
        <v>74</v>
      </c>
      <c r="BI154" t="s">
        <v>74</v>
      </c>
      <c r="BJ154" t="s">
        <v>74</v>
      </c>
      <c r="BK154" t="s">
        <v>74</v>
      </c>
      <c r="BL154" t="s">
        <v>74</v>
      </c>
      <c r="BM154" t="s">
        <v>74</v>
      </c>
      <c r="BN154" t="s">
        <v>74</v>
      </c>
      <c r="BO154" t="s">
        <v>74</v>
      </c>
      <c r="BP154" t="s">
        <v>74</v>
      </c>
      <c r="BQ154" t="s">
        <v>74</v>
      </c>
      <c r="BR154" t="s">
        <v>74</v>
      </c>
      <c r="BS154" t="s">
        <v>2027</v>
      </c>
      <c r="BT154" t="str">
        <f>HYPERLINK("https%3A%2F%2Fwww.webofscience.com%2Fwos%2Fwoscc%2Ffull-record%2FWOS:000172046000493","View Full Record in Web of Science")</f>
        <v>View Full Record in Web of Science</v>
      </c>
    </row>
    <row r="155" spans="1:72" x14ac:dyDescent="0.15">
      <c r="A155" t="s">
        <v>252</v>
      </c>
      <c r="B155" t="s">
        <v>911</v>
      </c>
      <c r="C155" t="s">
        <v>74</v>
      </c>
      <c r="D155" t="s">
        <v>912</v>
      </c>
      <c r="E155" t="s">
        <v>74</v>
      </c>
      <c r="F155" t="s">
        <v>911</v>
      </c>
      <c r="G155" t="s">
        <v>74</v>
      </c>
      <c r="H155" t="s">
        <v>74</v>
      </c>
      <c r="I155" t="s">
        <v>913</v>
      </c>
      <c r="J155" t="s">
        <v>914</v>
      </c>
      <c r="K155" t="s">
        <v>915</v>
      </c>
      <c r="L155" t="s">
        <v>74</v>
      </c>
      <c r="M155" t="s">
        <v>74</v>
      </c>
      <c r="N155" t="s">
        <v>74</v>
      </c>
      <c r="O155" t="s">
        <v>916</v>
      </c>
      <c r="P155" t="s">
        <v>917</v>
      </c>
      <c r="Q155" t="s">
        <v>918</v>
      </c>
      <c r="R155" t="s">
        <v>919</v>
      </c>
      <c r="S155" t="s">
        <v>74</v>
      </c>
      <c r="T155" t="s">
        <v>74</v>
      </c>
      <c r="U155" t="s">
        <v>74</v>
      </c>
      <c r="V155" t="s">
        <v>920</v>
      </c>
      <c r="W155" t="s">
        <v>74</v>
      </c>
      <c r="X155" t="s">
        <v>74</v>
      </c>
      <c r="Y155" t="s">
        <v>74</v>
      </c>
      <c r="Z155" t="s">
        <v>74</v>
      </c>
      <c r="AA155" t="s">
        <v>921</v>
      </c>
      <c r="AB155" t="s">
        <v>74</v>
      </c>
      <c r="AC155" t="s">
        <v>74</v>
      </c>
      <c r="AD155" t="s">
        <v>74</v>
      </c>
      <c r="AE155" t="s">
        <v>74</v>
      </c>
      <c r="AF155" t="s">
        <v>74</v>
      </c>
      <c r="AG155" t="s">
        <v>74</v>
      </c>
      <c r="AH155" t="s">
        <v>74</v>
      </c>
      <c r="AI155" t="s">
        <v>74</v>
      </c>
      <c r="AJ155" t="s">
        <v>74</v>
      </c>
      <c r="AK155" t="s">
        <v>74</v>
      </c>
      <c r="AL155" t="s">
        <v>74</v>
      </c>
      <c r="AM155" t="s">
        <v>74</v>
      </c>
      <c r="AN155" t="s">
        <v>74</v>
      </c>
      <c r="AO155" t="s">
        <v>74</v>
      </c>
      <c r="AP155" t="s">
        <v>74</v>
      </c>
      <c r="AQ155" t="s">
        <v>922</v>
      </c>
      <c r="AR155" t="s">
        <v>74</v>
      </c>
      <c r="AS155" t="s">
        <v>74</v>
      </c>
      <c r="AT155" t="s">
        <v>74</v>
      </c>
      <c r="AU155">
        <v>1998</v>
      </c>
      <c r="AV155" t="s">
        <v>74</v>
      </c>
      <c r="AW155" t="s">
        <v>74</v>
      </c>
      <c r="AX155" t="s">
        <v>74</v>
      </c>
      <c r="AY155" t="s">
        <v>74</v>
      </c>
      <c r="AZ155" t="s">
        <v>74</v>
      </c>
      <c r="BA155" t="s">
        <v>74</v>
      </c>
      <c r="BB155">
        <v>1258</v>
      </c>
      <c r="BC155">
        <v>1260</v>
      </c>
      <c r="BD155" t="s">
        <v>74</v>
      </c>
      <c r="BE155" t="s">
        <v>74</v>
      </c>
      <c r="BF155" t="s">
        <v>74</v>
      </c>
      <c r="BG155" t="s">
        <v>74</v>
      </c>
      <c r="BH155" t="s">
        <v>74</v>
      </c>
      <c r="BI155" t="s">
        <v>74</v>
      </c>
      <c r="BJ155" t="s">
        <v>74</v>
      </c>
      <c r="BK155" t="s">
        <v>74</v>
      </c>
      <c r="BL155" t="s">
        <v>74</v>
      </c>
      <c r="BM155" t="s">
        <v>74</v>
      </c>
      <c r="BN155" t="s">
        <v>74</v>
      </c>
      <c r="BO155" t="s">
        <v>74</v>
      </c>
      <c r="BP155" t="s">
        <v>74</v>
      </c>
      <c r="BQ155" t="s">
        <v>74</v>
      </c>
      <c r="BR155" t="s">
        <v>74</v>
      </c>
      <c r="BS155" t="s">
        <v>923</v>
      </c>
      <c r="BT155" t="str">
        <f>HYPERLINK("https%3A%2F%2Fwww.webofscience.com%2Fwos%2Fwoscc%2Ffull-record%2FWOS:000075217100408","View Full Record in Web of Science")</f>
        <v>View Full Record in Web of Science</v>
      </c>
    </row>
    <row r="156" spans="1:72" x14ac:dyDescent="0.15">
      <c r="A156" t="s">
        <v>252</v>
      </c>
      <c r="B156" t="s">
        <v>2028</v>
      </c>
      <c r="C156" t="s">
        <v>74</v>
      </c>
      <c r="D156" t="s">
        <v>74</v>
      </c>
      <c r="E156" t="s">
        <v>254</v>
      </c>
      <c r="F156" t="s">
        <v>2028</v>
      </c>
      <c r="G156" t="s">
        <v>74</v>
      </c>
      <c r="H156" t="s">
        <v>74</v>
      </c>
      <c r="I156" t="s">
        <v>2029</v>
      </c>
      <c r="J156" t="s">
        <v>2030</v>
      </c>
      <c r="K156" t="s">
        <v>2031</v>
      </c>
      <c r="L156" t="s">
        <v>74</v>
      </c>
      <c r="M156" t="s">
        <v>74</v>
      </c>
      <c r="N156" t="s">
        <v>74</v>
      </c>
      <c r="O156" t="s">
        <v>2032</v>
      </c>
      <c r="P156" t="s">
        <v>2033</v>
      </c>
      <c r="Q156" t="s">
        <v>918</v>
      </c>
      <c r="R156" t="s">
        <v>2034</v>
      </c>
      <c r="S156" t="s">
        <v>74</v>
      </c>
      <c r="T156" t="s">
        <v>74</v>
      </c>
      <c r="U156" t="s">
        <v>74</v>
      </c>
      <c r="V156" t="s">
        <v>2035</v>
      </c>
      <c r="W156" t="s">
        <v>74</v>
      </c>
      <c r="X156" t="s">
        <v>74</v>
      </c>
      <c r="Y156" t="s">
        <v>74</v>
      </c>
      <c r="Z156" t="s">
        <v>74</v>
      </c>
      <c r="AA156" t="s">
        <v>2036</v>
      </c>
      <c r="AB156" t="s">
        <v>74</v>
      </c>
      <c r="AC156" t="s">
        <v>74</v>
      </c>
      <c r="AD156" t="s">
        <v>74</v>
      </c>
      <c r="AE156" t="s">
        <v>74</v>
      </c>
      <c r="AF156" t="s">
        <v>74</v>
      </c>
      <c r="AG156" t="s">
        <v>74</v>
      </c>
      <c r="AH156" t="s">
        <v>74</v>
      </c>
      <c r="AI156" t="s">
        <v>74</v>
      </c>
      <c r="AJ156" t="s">
        <v>74</v>
      </c>
      <c r="AK156" t="s">
        <v>74</v>
      </c>
      <c r="AL156" t="s">
        <v>74</v>
      </c>
      <c r="AM156" t="s">
        <v>74</v>
      </c>
      <c r="AN156" t="s">
        <v>74</v>
      </c>
      <c r="AO156" t="s">
        <v>2037</v>
      </c>
      <c r="AP156" t="s">
        <v>74</v>
      </c>
      <c r="AQ156" t="s">
        <v>2038</v>
      </c>
      <c r="AR156" t="s">
        <v>74</v>
      </c>
      <c r="AS156" t="s">
        <v>74</v>
      </c>
      <c r="AT156" t="s">
        <v>74</v>
      </c>
      <c r="AU156">
        <v>1998</v>
      </c>
      <c r="AV156" t="s">
        <v>74</v>
      </c>
      <c r="AW156" t="s">
        <v>74</v>
      </c>
      <c r="AX156" t="s">
        <v>74</v>
      </c>
      <c r="AY156" t="s">
        <v>74</v>
      </c>
      <c r="AZ156" t="s">
        <v>74</v>
      </c>
      <c r="BA156" t="s">
        <v>74</v>
      </c>
      <c r="BB156">
        <v>1217</v>
      </c>
      <c r="BC156">
        <v>1220</v>
      </c>
      <c r="BD156" t="s">
        <v>74</v>
      </c>
      <c r="BE156" t="s">
        <v>74</v>
      </c>
      <c r="BF156" t="s">
        <v>74</v>
      </c>
      <c r="BG156" t="s">
        <v>74</v>
      </c>
      <c r="BH156" t="s">
        <v>74</v>
      </c>
      <c r="BI156" t="s">
        <v>74</v>
      </c>
      <c r="BJ156" t="s">
        <v>74</v>
      </c>
      <c r="BK156" t="s">
        <v>74</v>
      </c>
      <c r="BL156" t="s">
        <v>74</v>
      </c>
      <c r="BM156" t="s">
        <v>74</v>
      </c>
      <c r="BN156" t="s">
        <v>74</v>
      </c>
      <c r="BO156" t="s">
        <v>74</v>
      </c>
      <c r="BP156" t="s">
        <v>74</v>
      </c>
      <c r="BQ156" t="s">
        <v>74</v>
      </c>
      <c r="BR156" t="s">
        <v>74</v>
      </c>
      <c r="BS156" t="s">
        <v>2039</v>
      </c>
      <c r="BT156" t="str">
        <f>HYPERLINK("https%3A%2F%2Fwww.webofscience.com%2Fwos%2Fwoscc%2Ffull-record%2FWOS:000074520700305","View Full Record in Web of Science")</f>
        <v>View Full Record in Web of Science</v>
      </c>
    </row>
    <row r="157" spans="1:72" x14ac:dyDescent="0.15">
      <c r="A157" t="s">
        <v>252</v>
      </c>
      <c r="B157" t="s">
        <v>2040</v>
      </c>
      <c r="C157" t="s">
        <v>74</v>
      </c>
      <c r="D157" t="s">
        <v>74</v>
      </c>
      <c r="E157" t="s">
        <v>254</v>
      </c>
      <c r="F157" t="s">
        <v>2040</v>
      </c>
      <c r="G157" t="s">
        <v>74</v>
      </c>
      <c r="H157" t="s">
        <v>74</v>
      </c>
      <c r="I157" t="s">
        <v>2041</v>
      </c>
      <c r="J157" t="s">
        <v>2042</v>
      </c>
      <c r="K157" t="s">
        <v>74</v>
      </c>
      <c r="L157" t="s">
        <v>74</v>
      </c>
      <c r="M157" t="s">
        <v>74</v>
      </c>
      <c r="N157" t="s">
        <v>74</v>
      </c>
      <c r="O157" t="s">
        <v>2043</v>
      </c>
      <c r="P157" t="s">
        <v>2044</v>
      </c>
      <c r="Q157" t="s">
        <v>2045</v>
      </c>
      <c r="R157" t="s">
        <v>2046</v>
      </c>
      <c r="S157" t="s">
        <v>74</v>
      </c>
      <c r="T157" t="s">
        <v>74</v>
      </c>
      <c r="U157" t="s">
        <v>74</v>
      </c>
      <c r="V157" t="s">
        <v>74</v>
      </c>
      <c r="W157" t="s">
        <v>74</v>
      </c>
      <c r="X157" t="s">
        <v>74</v>
      </c>
      <c r="Y157" t="s">
        <v>74</v>
      </c>
      <c r="Z157" t="s">
        <v>74</v>
      </c>
      <c r="AA157" t="s">
        <v>2047</v>
      </c>
      <c r="AB157" t="s">
        <v>2048</v>
      </c>
      <c r="AC157" t="s">
        <v>74</v>
      </c>
      <c r="AD157" t="s">
        <v>74</v>
      </c>
      <c r="AE157" t="s">
        <v>74</v>
      </c>
      <c r="AF157" t="s">
        <v>74</v>
      </c>
      <c r="AG157" t="s">
        <v>74</v>
      </c>
      <c r="AH157" t="s">
        <v>74</v>
      </c>
      <c r="AI157" t="s">
        <v>74</v>
      </c>
      <c r="AJ157" t="s">
        <v>74</v>
      </c>
      <c r="AK157" t="s">
        <v>74</v>
      </c>
      <c r="AL157" t="s">
        <v>74</v>
      </c>
      <c r="AM157" t="s">
        <v>74</v>
      </c>
      <c r="AN157" t="s">
        <v>74</v>
      </c>
      <c r="AO157" t="s">
        <v>74</v>
      </c>
      <c r="AP157" t="s">
        <v>74</v>
      </c>
      <c r="AQ157" t="s">
        <v>2049</v>
      </c>
      <c r="AR157" t="s">
        <v>74</v>
      </c>
      <c r="AS157" t="s">
        <v>74</v>
      </c>
      <c r="AT157" t="s">
        <v>74</v>
      </c>
      <c r="AU157">
        <v>1996</v>
      </c>
      <c r="AV157" t="s">
        <v>74</v>
      </c>
      <c r="AW157" t="s">
        <v>74</v>
      </c>
      <c r="AX157" t="s">
        <v>74</v>
      </c>
      <c r="AY157" t="s">
        <v>74</v>
      </c>
      <c r="AZ157" t="s">
        <v>74</v>
      </c>
      <c r="BA157" t="s">
        <v>74</v>
      </c>
      <c r="BB157">
        <v>133</v>
      </c>
      <c r="BC157">
        <v>135</v>
      </c>
      <c r="BD157" t="s">
        <v>74</v>
      </c>
      <c r="BE157" t="s">
        <v>74</v>
      </c>
      <c r="BF157" t="s">
        <v>74</v>
      </c>
      <c r="BG157" t="s">
        <v>74</v>
      </c>
      <c r="BH157" t="s">
        <v>74</v>
      </c>
      <c r="BI157" t="s">
        <v>74</v>
      </c>
      <c r="BJ157" t="s">
        <v>74</v>
      </c>
      <c r="BK157" t="s">
        <v>74</v>
      </c>
      <c r="BL157" t="s">
        <v>74</v>
      </c>
      <c r="BM157" t="s">
        <v>74</v>
      </c>
      <c r="BN157" t="s">
        <v>74</v>
      </c>
      <c r="BO157" t="s">
        <v>74</v>
      </c>
      <c r="BP157" t="s">
        <v>74</v>
      </c>
      <c r="BQ157" t="s">
        <v>74</v>
      </c>
      <c r="BR157" t="s">
        <v>74</v>
      </c>
      <c r="BS157" t="s">
        <v>2050</v>
      </c>
      <c r="BT157" t="str">
        <f>HYPERLINK("https%3A%2F%2Fwww.webofscience.com%2Fwos%2Fwoscc%2Ffull-record%2FWOS:A1996BF96U00044","View Full Record in Web of Science")</f>
        <v>View Full Record in Web of Science</v>
      </c>
    </row>
    <row r="158" spans="1:72" x14ac:dyDescent="0.15">
      <c r="A158" t="s">
        <v>72</v>
      </c>
      <c r="B158" t="s">
        <v>2051</v>
      </c>
      <c r="C158" t="s">
        <v>74</v>
      </c>
      <c r="D158" t="s">
        <v>74</v>
      </c>
      <c r="E158" t="s">
        <v>74</v>
      </c>
      <c r="F158" t="s">
        <v>2051</v>
      </c>
      <c r="G158" t="s">
        <v>74</v>
      </c>
      <c r="H158" t="s">
        <v>74</v>
      </c>
      <c r="I158" t="s">
        <v>2052</v>
      </c>
      <c r="J158" t="s">
        <v>2053</v>
      </c>
      <c r="K158" t="s">
        <v>74</v>
      </c>
      <c r="L158" t="s">
        <v>74</v>
      </c>
      <c r="M158" t="s">
        <v>74</v>
      </c>
      <c r="N158" t="s">
        <v>74</v>
      </c>
      <c r="O158" t="s">
        <v>74</v>
      </c>
      <c r="P158" t="s">
        <v>74</v>
      </c>
      <c r="Q158" t="s">
        <v>74</v>
      </c>
      <c r="R158" t="s">
        <v>74</v>
      </c>
      <c r="S158" t="s">
        <v>74</v>
      </c>
      <c r="T158" t="s">
        <v>74</v>
      </c>
      <c r="U158" t="s">
        <v>74</v>
      </c>
      <c r="V158" t="s">
        <v>2054</v>
      </c>
      <c r="W158" t="s">
        <v>74</v>
      </c>
      <c r="X158" t="s">
        <v>74</v>
      </c>
      <c r="Y158" t="s">
        <v>74</v>
      </c>
      <c r="Z158" t="s">
        <v>74</v>
      </c>
      <c r="AA158" t="s">
        <v>2055</v>
      </c>
      <c r="AB158" t="s">
        <v>74</v>
      </c>
      <c r="AC158" t="s">
        <v>74</v>
      </c>
      <c r="AD158" t="s">
        <v>74</v>
      </c>
      <c r="AE158" t="s">
        <v>74</v>
      </c>
      <c r="AF158" t="s">
        <v>74</v>
      </c>
      <c r="AG158" t="s">
        <v>74</v>
      </c>
      <c r="AH158" t="s">
        <v>74</v>
      </c>
      <c r="AI158" t="s">
        <v>74</v>
      </c>
      <c r="AJ158" t="s">
        <v>74</v>
      </c>
      <c r="AK158" t="s">
        <v>74</v>
      </c>
      <c r="AL158" t="s">
        <v>74</v>
      </c>
      <c r="AM158" t="s">
        <v>74</v>
      </c>
      <c r="AN158" t="s">
        <v>74</v>
      </c>
      <c r="AO158" t="s">
        <v>2056</v>
      </c>
      <c r="AP158" t="s">
        <v>2057</v>
      </c>
      <c r="AQ158" t="s">
        <v>74</v>
      </c>
      <c r="AR158" t="s">
        <v>74</v>
      </c>
      <c r="AS158" t="s">
        <v>74</v>
      </c>
      <c r="AT158" t="s">
        <v>199</v>
      </c>
      <c r="AU158">
        <v>1995</v>
      </c>
      <c r="AV158">
        <v>8</v>
      </c>
      <c r="AW158">
        <v>5</v>
      </c>
      <c r="AX158">
        <v>2</v>
      </c>
      <c r="AY158" t="s">
        <v>74</v>
      </c>
      <c r="AZ158" t="s">
        <v>74</v>
      </c>
      <c r="BA158" t="s">
        <v>74</v>
      </c>
      <c r="BB158">
        <v>1261</v>
      </c>
      <c r="BC158">
        <v>1283</v>
      </c>
      <c r="BD158" t="s">
        <v>74</v>
      </c>
      <c r="BE158" t="s">
        <v>2058</v>
      </c>
      <c r="BF158" t="str">
        <f>HYPERLINK("http://dx.doi.org/10.1175/1520-0442(1995)008&lt;1261:ASSCCS&gt;2.0.CO;2","http://dx.doi.org/10.1175/1520-0442(1995)008&lt;1261:ASSCCS&gt;2.0.CO;2")</f>
        <v>http://dx.doi.org/10.1175/1520-0442(1995)008&lt;1261:ASSCCS&gt;2.0.CO;2</v>
      </c>
      <c r="BG158" t="s">
        <v>74</v>
      </c>
      <c r="BH158" t="s">
        <v>74</v>
      </c>
      <c r="BI158" t="s">
        <v>74</v>
      </c>
      <c r="BJ158" t="s">
        <v>74</v>
      </c>
      <c r="BK158" t="s">
        <v>74</v>
      </c>
      <c r="BL158" t="s">
        <v>74</v>
      </c>
      <c r="BM158" t="s">
        <v>74</v>
      </c>
      <c r="BN158" t="s">
        <v>74</v>
      </c>
      <c r="BO158" t="s">
        <v>74</v>
      </c>
      <c r="BP158" t="s">
        <v>74</v>
      </c>
      <c r="BQ158" t="s">
        <v>74</v>
      </c>
      <c r="BR158" t="s">
        <v>74</v>
      </c>
      <c r="BS158" t="s">
        <v>2059</v>
      </c>
      <c r="BT158" t="str">
        <f>HYPERLINK("https%3A%2F%2Fwww.webofscience.com%2Fwos%2Fwoscc%2Ffull-record%2FWOS:A1995RB23200002","View Full Record in Web of Science")</f>
        <v>View Full Record in Web of Science</v>
      </c>
    </row>
    <row r="159" spans="1:72" x14ac:dyDescent="0.15">
      <c r="A159" t="s">
        <v>252</v>
      </c>
      <c r="B159" t="s">
        <v>2060</v>
      </c>
      <c r="C159" t="s">
        <v>74</v>
      </c>
      <c r="D159" t="s">
        <v>74</v>
      </c>
      <c r="E159" t="s">
        <v>254</v>
      </c>
      <c r="F159" t="s">
        <v>2060</v>
      </c>
      <c r="G159" t="s">
        <v>74</v>
      </c>
      <c r="H159" t="s">
        <v>74</v>
      </c>
      <c r="I159" t="s">
        <v>2061</v>
      </c>
      <c r="J159" t="s">
        <v>2062</v>
      </c>
      <c r="K159" t="s">
        <v>74</v>
      </c>
      <c r="L159" t="s">
        <v>74</v>
      </c>
      <c r="M159" t="s">
        <v>74</v>
      </c>
      <c r="N159" t="s">
        <v>74</v>
      </c>
      <c r="O159" t="s">
        <v>2063</v>
      </c>
      <c r="P159" t="s">
        <v>2064</v>
      </c>
      <c r="Q159" t="s">
        <v>2065</v>
      </c>
      <c r="R159" t="s">
        <v>2066</v>
      </c>
      <c r="S159" t="s">
        <v>74</v>
      </c>
      <c r="T159" t="s">
        <v>74</v>
      </c>
      <c r="U159" t="s">
        <v>74</v>
      </c>
      <c r="V159" t="s">
        <v>74</v>
      </c>
      <c r="W159" t="s">
        <v>74</v>
      </c>
      <c r="X159" t="s">
        <v>74</v>
      </c>
      <c r="Y159" t="s">
        <v>74</v>
      </c>
      <c r="Z159" t="s">
        <v>74</v>
      </c>
      <c r="AA159" t="s">
        <v>2067</v>
      </c>
      <c r="AB159" t="s">
        <v>2068</v>
      </c>
      <c r="AC159" t="s">
        <v>74</v>
      </c>
      <c r="AD159" t="s">
        <v>74</v>
      </c>
      <c r="AE159" t="s">
        <v>74</v>
      </c>
      <c r="AF159" t="s">
        <v>74</v>
      </c>
      <c r="AG159" t="s">
        <v>74</v>
      </c>
      <c r="AH159" t="s">
        <v>74</v>
      </c>
      <c r="AI159" t="s">
        <v>74</v>
      </c>
      <c r="AJ159" t="s">
        <v>74</v>
      </c>
      <c r="AK159" t="s">
        <v>74</v>
      </c>
      <c r="AL159" t="s">
        <v>74</v>
      </c>
      <c r="AM159" t="s">
        <v>74</v>
      </c>
      <c r="AN159" t="s">
        <v>74</v>
      </c>
      <c r="AO159" t="s">
        <v>74</v>
      </c>
      <c r="AP159" t="s">
        <v>74</v>
      </c>
      <c r="AQ159" t="s">
        <v>2069</v>
      </c>
      <c r="AR159" t="s">
        <v>74</v>
      </c>
      <c r="AS159" t="s">
        <v>74</v>
      </c>
      <c r="AT159" t="s">
        <v>74</v>
      </c>
      <c r="AU159">
        <v>1995</v>
      </c>
      <c r="AV159" t="s">
        <v>74</v>
      </c>
      <c r="AW159" t="s">
        <v>74</v>
      </c>
      <c r="AX159" t="s">
        <v>74</v>
      </c>
      <c r="AY159" t="s">
        <v>74</v>
      </c>
      <c r="AZ159" t="s">
        <v>74</v>
      </c>
      <c r="BA159" t="s">
        <v>74</v>
      </c>
      <c r="BB159">
        <v>3451</v>
      </c>
      <c r="BC159">
        <v>3454</v>
      </c>
      <c r="BD159" t="s">
        <v>74</v>
      </c>
      <c r="BE159" t="s">
        <v>74</v>
      </c>
      <c r="BF159" t="s">
        <v>74</v>
      </c>
      <c r="BG159" t="s">
        <v>74</v>
      </c>
      <c r="BH159" t="s">
        <v>74</v>
      </c>
      <c r="BI159" t="s">
        <v>74</v>
      </c>
      <c r="BJ159" t="s">
        <v>74</v>
      </c>
      <c r="BK159" t="s">
        <v>74</v>
      </c>
      <c r="BL159" t="s">
        <v>74</v>
      </c>
      <c r="BM159" t="s">
        <v>74</v>
      </c>
      <c r="BN159" t="s">
        <v>74</v>
      </c>
      <c r="BO159" t="s">
        <v>74</v>
      </c>
      <c r="BP159" t="s">
        <v>74</v>
      </c>
      <c r="BQ159" t="s">
        <v>74</v>
      </c>
      <c r="BR159" t="s">
        <v>74</v>
      </c>
      <c r="BS159" t="s">
        <v>2070</v>
      </c>
      <c r="BT159" t="str">
        <f>HYPERLINK("https%3A%2F%2Fwww.webofscience.com%2Fwos%2Fwoscc%2Ffull-record%2FWOS:A1995BD41X00862","View Full Record in Web of Science")</f>
        <v>View Full Record in Web of Science</v>
      </c>
    </row>
    <row r="160" spans="1:72" x14ac:dyDescent="0.15">
      <c r="A160" t="s">
        <v>72</v>
      </c>
      <c r="B160" t="s">
        <v>2071</v>
      </c>
      <c r="C160" t="s">
        <v>74</v>
      </c>
      <c r="D160" t="s">
        <v>74</v>
      </c>
      <c r="E160" t="s">
        <v>74</v>
      </c>
      <c r="F160" t="s">
        <v>2071</v>
      </c>
      <c r="G160" t="s">
        <v>74</v>
      </c>
      <c r="H160" t="s">
        <v>74</v>
      </c>
      <c r="I160" t="s">
        <v>2072</v>
      </c>
      <c r="J160" t="s">
        <v>96</v>
      </c>
      <c r="K160" t="s">
        <v>74</v>
      </c>
      <c r="L160" t="s">
        <v>74</v>
      </c>
      <c r="M160" t="s">
        <v>74</v>
      </c>
      <c r="N160" t="s">
        <v>74</v>
      </c>
      <c r="O160" t="s">
        <v>2073</v>
      </c>
      <c r="P160" t="s">
        <v>2074</v>
      </c>
      <c r="Q160" t="s">
        <v>2075</v>
      </c>
      <c r="R160" t="s">
        <v>2076</v>
      </c>
      <c r="S160" t="s">
        <v>74</v>
      </c>
      <c r="T160" t="s">
        <v>74</v>
      </c>
      <c r="U160" t="s">
        <v>74</v>
      </c>
      <c r="V160" t="s">
        <v>2077</v>
      </c>
      <c r="W160" t="s">
        <v>74</v>
      </c>
      <c r="X160" t="s">
        <v>74</v>
      </c>
      <c r="Y160" t="s">
        <v>74</v>
      </c>
      <c r="Z160" t="s">
        <v>74</v>
      </c>
      <c r="AA160" t="s">
        <v>74</v>
      </c>
      <c r="AB160" t="s">
        <v>74</v>
      </c>
      <c r="AC160" t="s">
        <v>74</v>
      </c>
      <c r="AD160" t="s">
        <v>74</v>
      </c>
      <c r="AE160" t="s">
        <v>74</v>
      </c>
      <c r="AF160" t="s">
        <v>74</v>
      </c>
      <c r="AG160" t="s">
        <v>74</v>
      </c>
      <c r="AH160" t="s">
        <v>74</v>
      </c>
      <c r="AI160" t="s">
        <v>74</v>
      </c>
      <c r="AJ160" t="s">
        <v>74</v>
      </c>
      <c r="AK160" t="s">
        <v>74</v>
      </c>
      <c r="AL160" t="s">
        <v>74</v>
      </c>
      <c r="AM160" t="s">
        <v>74</v>
      </c>
      <c r="AN160" t="s">
        <v>74</v>
      </c>
      <c r="AO160" t="s">
        <v>99</v>
      </c>
      <c r="AP160" t="s">
        <v>74</v>
      </c>
      <c r="AQ160" t="s">
        <v>74</v>
      </c>
      <c r="AR160" t="s">
        <v>74</v>
      </c>
      <c r="AS160" t="s">
        <v>74</v>
      </c>
      <c r="AT160" t="s">
        <v>208</v>
      </c>
      <c r="AU160">
        <v>1993</v>
      </c>
      <c r="AV160">
        <v>31</v>
      </c>
      <c r="AW160">
        <v>4</v>
      </c>
      <c r="AX160" t="s">
        <v>74</v>
      </c>
      <c r="AY160" t="s">
        <v>74</v>
      </c>
      <c r="AZ160" t="s">
        <v>74</v>
      </c>
      <c r="BA160" t="s">
        <v>74</v>
      </c>
      <c r="BB160">
        <v>842</v>
      </c>
      <c r="BC160">
        <v>852</v>
      </c>
      <c r="BD160" t="s">
        <v>74</v>
      </c>
      <c r="BE160" t="s">
        <v>2078</v>
      </c>
      <c r="BF160" t="str">
        <f>HYPERLINK("http://dx.doi.org/10.1109/36.239907","http://dx.doi.org/10.1109/36.239907")</f>
        <v>http://dx.doi.org/10.1109/36.239907</v>
      </c>
      <c r="BG160" t="s">
        <v>74</v>
      </c>
      <c r="BH160" t="s">
        <v>74</v>
      </c>
      <c r="BI160" t="s">
        <v>74</v>
      </c>
      <c r="BJ160" t="s">
        <v>74</v>
      </c>
      <c r="BK160" t="s">
        <v>74</v>
      </c>
      <c r="BL160" t="s">
        <v>74</v>
      </c>
      <c r="BM160" t="s">
        <v>74</v>
      </c>
      <c r="BN160" t="s">
        <v>74</v>
      </c>
      <c r="BO160" t="s">
        <v>74</v>
      </c>
      <c r="BP160" t="s">
        <v>74</v>
      </c>
      <c r="BQ160" t="s">
        <v>74</v>
      </c>
      <c r="BR160" t="s">
        <v>74</v>
      </c>
      <c r="BS160" t="s">
        <v>2079</v>
      </c>
      <c r="BT160" t="str">
        <f>HYPERLINK("https%3A%2F%2Fwww.webofscience.com%2Fwos%2Fwoscc%2Ffull-record%2FWOS:A1993ME12200012","View Full Record in Web of Science")</f>
        <v>View Full Record in Web of Science</v>
      </c>
    </row>
    <row r="161" spans="1:72" x14ac:dyDescent="0.15">
      <c r="A161" t="s">
        <v>72</v>
      </c>
      <c r="B161" t="s">
        <v>2080</v>
      </c>
      <c r="C161" t="s">
        <v>74</v>
      </c>
      <c r="D161" t="s">
        <v>74</v>
      </c>
      <c r="E161" t="s">
        <v>74</v>
      </c>
      <c r="F161" t="s">
        <v>2080</v>
      </c>
      <c r="G161" t="s">
        <v>74</v>
      </c>
      <c r="H161" t="s">
        <v>74</v>
      </c>
      <c r="I161" t="s">
        <v>2081</v>
      </c>
      <c r="J161" t="s">
        <v>96</v>
      </c>
      <c r="K161" t="s">
        <v>74</v>
      </c>
      <c r="L161" t="s">
        <v>74</v>
      </c>
      <c r="M161" t="s">
        <v>74</v>
      </c>
      <c r="N161" t="s">
        <v>74</v>
      </c>
      <c r="O161" t="s">
        <v>74</v>
      </c>
      <c r="P161" t="s">
        <v>74</v>
      </c>
      <c r="Q161" t="s">
        <v>74</v>
      </c>
      <c r="R161" t="s">
        <v>74</v>
      </c>
      <c r="S161" t="s">
        <v>74</v>
      </c>
      <c r="T161" t="s">
        <v>74</v>
      </c>
      <c r="U161" t="s">
        <v>74</v>
      </c>
      <c r="V161" t="s">
        <v>2082</v>
      </c>
      <c r="W161" t="s">
        <v>74</v>
      </c>
      <c r="X161" t="s">
        <v>74</v>
      </c>
      <c r="Y161" t="s">
        <v>74</v>
      </c>
      <c r="Z161" t="s">
        <v>74</v>
      </c>
      <c r="AA161" t="s">
        <v>74</v>
      </c>
      <c r="AB161" t="s">
        <v>74</v>
      </c>
      <c r="AC161" t="s">
        <v>74</v>
      </c>
      <c r="AD161" t="s">
        <v>74</v>
      </c>
      <c r="AE161" t="s">
        <v>74</v>
      </c>
      <c r="AF161" t="s">
        <v>74</v>
      </c>
      <c r="AG161" t="s">
        <v>74</v>
      </c>
      <c r="AH161" t="s">
        <v>74</v>
      </c>
      <c r="AI161" t="s">
        <v>74</v>
      </c>
      <c r="AJ161" t="s">
        <v>74</v>
      </c>
      <c r="AK161" t="s">
        <v>74</v>
      </c>
      <c r="AL161" t="s">
        <v>74</v>
      </c>
      <c r="AM161" t="s">
        <v>74</v>
      </c>
      <c r="AN161" t="s">
        <v>74</v>
      </c>
      <c r="AO161" t="s">
        <v>99</v>
      </c>
      <c r="AP161" t="s">
        <v>74</v>
      </c>
      <c r="AQ161" t="s">
        <v>74</v>
      </c>
      <c r="AR161" t="s">
        <v>74</v>
      </c>
      <c r="AS161" t="s">
        <v>74</v>
      </c>
      <c r="AT161" t="s">
        <v>177</v>
      </c>
      <c r="AU161">
        <v>1992</v>
      </c>
      <c r="AV161">
        <v>30</v>
      </c>
      <c r="AW161">
        <v>5</v>
      </c>
      <c r="AX161" t="s">
        <v>74</v>
      </c>
      <c r="AY161" t="s">
        <v>74</v>
      </c>
      <c r="AZ161" t="s">
        <v>74</v>
      </c>
      <c r="BA161" t="s">
        <v>74</v>
      </c>
      <c r="BB161">
        <v>1015</v>
      </c>
      <c r="BC161">
        <v>1024</v>
      </c>
      <c r="BD161" t="s">
        <v>74</v>
      </c>
      <c r="BE161" t="s">
        <v>2083</v>
      </c>
      <c r="BF161" t="str">
        <f>HYPERLINK("http://dx.doi.org/10.1109/36.175336","http://dx.doi.org/10.1109/36.175336")</f>
        <v>http://dx.doi.org/10.1109/36.175336</v>
      </c>
      <c r="BG161" t="s">
        <v>74</v>
      </c>
      <c r="BH161" t="s">
        <v>74</v>
      </c>
      <c r="BI161" t="s">
        <v>74</v>
      </c>
      <c r="BJ161" t="s">
        <v>74</v>
      </c>
      <c r="BK161" t="s">
        <v>74</v>
      </c>
      <c r="BL161" t="s">
        <v>74</v>
      </c>
      <c r="BM161" t="s">
        <v>74</v>
      </c>
      <c r="BN161" t="s">
        <v>74</v>
      </c>
      <c r="BO161" t="s">
        <v>74</v>
      </c>
      <c r="BP161" t="s">
        <v>74</v>
      </c>
      <c r="BQ161" t="s">
        <v>74</v>
      </c>
      <c r="BR161" t="s">
        <v>74</v>
      </c>
      <c r="BS161" t="s">
        <v>2084</v>
      </c>
      <c r="BT161" t="str">
        <f>HYPERLINK("https%3A%2F%2Fwww.webofscience.com%2Fwos%2Fwoscc%2Ffull-record%2FWOS:A1992JZ98400019","View Full Record in Web of Science")</f>
        <v>View Full Record in Web of Science</v>
      </c>
    </row>
    <row r="162" spans="1:72" x14ac:dyDescent="0.15">
      <c r="A162" t="s">
        <v>72</v>
      </c>
      <c r="B162" t="s">
        <v>2085</v>
      </c>
      <c r="C162" t="s">
        <v>74</v>
      </c>
      <c r="D162" t="s">
        <v>74</v>
      </c>
      <c r="E162" t="s">
        <v>74</v>
      </c>
      <c r="F162" t="s">
        <v>2085</v>
      </c>
      <c r="G162" t="s">
        <v>74</v>
      </c>
      <c r="H162" t="s">
        <v>74</v>
      </c>
      <c r="I162" t="s">
        <v>2086</v>
      </c>
      <c r="J162" t="s">
        <v>2087</v>
      </c>
      <c r="K162" t="s">
        <v>74</v>
      </c>
      <c r="L162" t="s">
        <v>74</v>
      </c>
      <c r="M162" t="s">
        <v>74</v>
      </c>
      <c r="N162" t="s">
        <v>74</v>
      </c>
      <c r="O162" t="s">
        <v>74</v>
      </c>
      <c r="P162" t="s">
        <v>74</v>
      </c>
      <c r="Q162" t="s">
        <v>74</v>
      </c>
      <c r="R162" t="s">
        <v>74</v>
      </c>
      <c r="S162" t="s">
        <v>74</v>
      </c>
      <c r="T162" t="s">
        <v>74</v>
      </c>
      <c r="U162" t="s">
        <v>74</v>
      </c>
      <c r="V162" t="s">
        <v>2088</v>
      </c>
      <c r="W162" t="s">
        <v>74</v>
      </c>
      <c r="X162" t="s">
        <v>74</v>
      </c>
      <c r="Y162" t="s">
        <v>74</v>
      </c>
      <c r="Z162" t="s">
        <v>74</v>
      </c>
      <c r="AA162" t="s">
        <v>74</v>
      </c>
      <c r="AB162" t="s">
        <v>74</v>
      </c>
      <c r="AC162" t="s">
        <v>74</v>
      </c>
      <c r="AD162" t="s">
        <v>74</v>
      </c>
      <c r="AE162" t="s">
        <v>74</v>
      </c>
      <c r="AF162" t="s">
        <v>74</v>
      </c>
      <c r="AG162" t="s">
        <v>74</v>
      </c>
      <c r="AH162" t="s">
        <v>74</v>
      </c>
      <c r="AI162" t="s">
        <v>74</v>
      </c>
      <c r="AJ162" t="s">
        <v>74</v>
      </c>
      <c r="AK162" t="s">
        <v>74</v>
      </c>
      <c r="AL162" t="s">
        <v>74</v>
      </c>
      <c r="AM162" t="s">
        <v>74</v>
      </c>
      <c r="AN162" t="s">
        <v>74</v>
      </c>
      <c r="AO162" t="s">
        <v>2089</v>
      </c>
      <c r="AP162" t="s">
        <v>74</v>
      </c>
      <c r="AQ162" t="s">
        <v>74</v>
      </c>
      <c r="AR162" t="s">
        <v>74</v>
      </c>
      <c r="AS162" t="s">
        <v>74</v>
      </c>
      <c r="AT162" t="s">
        <v>74</v>
      </c>
      <c r="AU162">
        <v>1992</v>
      </c>
      <c r="AV162">
        <v>23</v>
      </c>
      <c r="AW162">
        <v>3</v>
      </c>
      <c r="AX162" t="s">
        <v>74</v>
      </c>
      <c r="AY162" t="s">
        <v>74</v>
      </c>
      <c r="AZ162" t="s">
        <v>74</v>
      </c>
      <c r="BA162" t="s">
        <v>74</v>
      </c>
      <c r="BB162">
        <v>173</v>
      </c>
      <c r="BC162">
        <v>182</v>
      </c>
      <c r="BD162" t="s">
        <v>74</v>
      </c>
      <c r="BE162" t="s">
        <v>74</v>
      </c>
      <c r="BF162" t="s">
        <v>74</v>
      </c>
      <c r="BG162" t="s">
        <v>74</v>
      </c>
      <c r="BH162" t="s">
        <v>74</v>
      </c>
      <c r="BI162" t="s">
        <v>74</v>
      </c>
      <c r="BJ162" t="s">
        <v>74</v>
      </c>
      <c r="BK162" t="s">
        <v>74</v>
      </c>
      <c r="BL162" t="s">
        <v>74</v>
      </c>
      <c r="BM162" t="s">
        <v>74</v>
      </c>
      <c r="BN162" t="s">
        <v>74</v>
      </c>
      <c r="BO162" t="s">
        <v>74</v>
      </c>
      <c r="BP162" t="s">
        <v>74</v>
      </c>
      <c r="BQ162" t="s">
        <v>74</v>
      </c>
      <c r="BR162" t="s">
        <v>74</v>
      </c>
      <c r="BS162" t="s">
        <v>2090</v>
      </c>
      <c r="BT162" t="str">
        <f>HYPERLINK("https%3A%2F%2Fwww.webofscience.com%2Fwos%2Fwoscc%2Ffull-record%2FWOS:A1992JQ28500003","View Full Record in Web of Science")</f>
        <v>View Full Record in Web of Science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0805-22CA-1E44-BA7C-0DD90F5FBC9A}">
  <dimension ref="A1:V114"/>
  <sheetViews>
    <sheetView zoomScale="130" zoomScaleNormal="130" workbookViewId="0">
      <pane ySplit="1" topLeftCell="A100" activePane="bottomLeft" state="frozen"/>
      <selection pane="bottomLeft" activeCell="H19" sqref="H19"/>
    </sheetView>
  </sheetViews>
  <sheetFormatPr baseColWidth="10" defaultRowHeight="13" x14ac:dyDescent="0.15"/>
  <cols>
    <col min="4" max="4" width="33.83203125" customWidth="1"/>
    <col min="6" max="6" width="20.6640625" customWidth="1"/>
    <col min="13" max="13" width="10.83203125" customWidth="1"/>
    <col min="14" max="14" width="11.5" customWidth="1"/>
    <col min="19" max="19" width="15.5" customWidth="1"/>
  </cols>
  <sheetData>
    <row r="1" spans="1:22" x14ac:dyDescent="0.15">
      <c r="A1" s="1" t="s">
        <v>2091</v>
      </c>
      <c r="B1" t="s">
        <v>0</v>
      </c>
      <c r="C1" s="1" t="s">
        <v>2152</v>
      </c>
      <c r="D1" t="s">
        <v>1</v>
      </c>
      <c r="E1" t="s">
        <v>8</v>
      </c>
      <c r="F1" t="s">
        <v>9</v>
      </c>
      <c r="G1" t="s">
        <v>46</v>
      </c>
      <c r="H1" t="s">
        <v>21</v>
      </c>
      <c r="I1" t="s">
        <v>56</v>
      </c>
      <c r="J1" s="1" t="s">
        <v>2140</v>
      </c>
      <c r="K1" s="1" t="s">
        <v>2094</v>
      </c>
      <c r="L1" s="1" t="s">
        <v>2095</v>
      </c>
      <c r="M1" s="1" t="s">
        <v>2346</v>
      </c>
      <c r="N1" s="1" t="s">
        <v>2146</v>
      </c>
      <c r="O1" s="1" t="s">
        <v>2356</v>
      </c>
      <c r="P1" s="1" t="s">
        <v>2362</v>
      </c>
      <c r="Q1" s="1" t="s">
        <v>2148</v>
      </c>
      <c r="R1" s="1" t="s">
        <v>2357</v>
      </c>
      <c r="S1" s="1" t="s">
        <v>2096</v>
      </c>
      <c r="T1" s="1" t="s">
        <v>2097</v>
      </c>
      <c r="U1" s="1" t="s">
        <v>2365</v>
      </c>
      <c r="V1" s="1" t="s">
        <v>2184</v>
      </c>
    </row>
    <row r="2" spans="1:22" x14ac:dyDescent="0.15">
      <c r="A2" s="1" t="s">
        <v>2093</v>
      </c>
      <c r="B2" t="s">
        <v>72</v>
      </c>
      <c r="D2" t="s">
        <v>2080</v>
      </c>
      <c r="E2" t="s">
        <v>2081</v>
      </c>
      <c r="F2" t="s">
        <v>96</v>
      </c>
      <c r="G2">
        <v>1992</v>
      </c>
      <c r="H2" s="1" t="s">
        <v>2082</v>
      </c>
      <c r="I2" t="s">
        <v>2083</v>
      </c>
      <c r="J2" s="1" t="s">
        <v>2141</v>
      </c>
      <c r="K2" s="1" t="s">
        <v>2098</v>
      </c>
      <c r="M2" s="1" t="s">
        <v>2188</v>
      </c>
    </row>
    <row r="3" spans="1:22" x14ac:dyDescent="0.15">
      <c r="A3" s="1" t="s">
        <v>2093</v>
      </c>
      <c r="B3" t="s">
        <v>72</v>
      </c>
      <c r="D3" t="s">
        <v>2085</v>
      </c>
      <c r="E3" s="1" t="s">
        <v>2086</v>
      </c>
      <c r="F3" t="s">
        <v>2087</v>
      </c>
      <c r="G3">
        <v>1992</v>
      </c>
      <c r="H3" s="1" t="s">
        <v>2088</v>
      </c>
      <c r="I3" t="s">
        <v>74</v>
      </c>
      <c r="J3" s="1" t="s">
        <v>2142</v>
      </c>
      <c r="K3" s="1" t="s">
        <v>2098</v>
      </c>
      <c r="M3" s="1" t="s">
        <v>2188</v>
      </c>
    </row>
    <row r="4" spans="1:22" x14ac:dyDescent="0.15">
      <c r="A4" s="1" t="s">
        <v>2093</v>
      </c>
      <c r="B4" t="s">
        <v>72</v>
      </c>
      <c r="D4" t="s">
        <v>2005</v>
      </c>
      <c r="E4" t="s">
        <v>2006</v>
      </c>
      <c r="F4" t="s">
        <v>96</v>
      </c>
      <c r="G4">
        <v>2001</v>
      </c>
      <c r="H4" t="s">
        <v>2007</v>
      </c>
      <c r="I4" t="s">
        <v>2008</v>
      </c>
      <c r="J4" s="1" t="s">
        <v>2101</v>
      </c>
      <c r="K4" s="1" t="s">
        <v>2144</v>
      </c>
      <c r="M4" s="1" t="s">
        <v>2188</v>
      </c>
    </row>
    <row r="5" spans="1:22" x14ac:dyDescent="0.15">
      <c r="A5" s="1" t="s">
        <v>2093</v>
      </c>
      <c r="B5" t="s">
        <v>72</v>
      </c>
      <c r="D5" t="s">
        <v>2010</v>
      </c>
      <c r="E5" s="1" t="s">
        <v>2011</v>
      </c>
      <c r="F5" t="s">
        <v>96</v>
      </c>
      <c r="G5">
        <v>2001</v>
      </c>
      <c r="H5" t="s">
        <v>2012</v>
      </c>
      <c r="I5" t="s">
        <v>2015</v>
      </c>
      <c r="J5" s="1" t="s">
        <v>2142</v>
      </c>
      <c r="K5" s="1" t="s">
        <v>2098</v>
      </c>
      <c r="M5" s="1" t="s">
        <v>2188</v>
      </c>
    </row>
    <row r="6" spans="1:22" x14ac:dyDescent="0.15">
      <c r="A6" s="1" t="s">
        <v>2093</v>
      </c>
      <c r="B6" t="s">
        <v>72</v>
      </c>
      <c r="D6" t="s">
        <v>1957</v>
      </c>
      <c r="E6" t="s">
        <v>1958</v>
      </c>
      <c r="F6" t="s">
        <v>122</v>
      </c>
      <c r="G6">
        <v>2004</v>
      </c>
      <c r="H6" t="s">
        <v>1959</v>
      </c>
      <c r="I6" t="s">
        <v>1962</v>
      </c>
      <c r="J6" s="1" t="s">
        <v>2142</v>
      </c>
      <c r="K6" s="1" t="s">
        <v>2098</v>
      </c>
      <c r="L6" s="1" t="s">
        <v>2145</v>
      </c>
      <c r="M6" s="1" t="s">
        <v>2188</v>
      </c>
      <c r="N6" s="1" t="s">
        <v>2147</v>
      </c>
      <c r="O6" s="1"/>
      <c r="P6" s="1"/>
      <c r="Q6" s="1" t="s">
        <v>2149</v>
      </c>
      <c r="R6" s="1"/>
    </row>
    <row r="7" spans="1:22" x14ac:dyDescent="0.15">
      <c r="A7" s="1" t="s">
        <v>2093</v>
      </c>
      <c r="B7" t="s">
        <v>72</v>
      </c>
      <c r="D7" t="s">
        <v>1901</v>
      </c>
      <c r="E7" s="1" t="s">
        <v>1903</v>
      </c>
      <c r="F7" t="s">
        <v>96</v>
      </c>
      <c r="G7">
        <v>2008</v>
      </c>
      <c r="H7" t="s">
        <v>1904</v>
      </c>
      <c r="I7" t="s">
        <v>1905</v>
      </c>
      <c r="J7" s="1" t="s">
        <v>2142</v>
      </c>
      <c r="K7" s="1" t="s">
        <v>2098</v>
      </c>
      <c r="L7" s="1" t="s">
        <v>2145</v>
      </c>
      <c r="M7" s="1" t="s">
        <v>2188</v>
      </c>
      <c r="N7" s="1" t="s">
        <v>2151</v>
      </c>
      <c r="O7" s="1"/>
      <c r="P7" s="1"/>
      <c r="Q7" s="1" t="s">
        <v>2150</v>
      </c>
      <c r="R7" s="1"/>
    </row>
    <row r="8" spans="1:22" x14ac:dyDescent="0.15">
      <c r="A8" s="1" t="s">
        <v>2093</v>
      </c>
      <c r="B8" t="s">
        <v>72</v>
      </c>
      <c r="D8" t="s">
        <v>1844</v>
      </c>
      <c r="E8" t="s">
        <v>1846</v>
      </c>
      <c r="F8" t="s">
        <v>1847</v>
      </c>
      <c r="G8">
        <v>2010</v>
      </c>
      <c r="H8" t="s">
        <v>1848</v>
      </c>
      <c r="I8" t="s">
        <v>1853</v>
      </c>
      <c r="J8" s="1" t="s">
        <v>2101</v>
      </c>
      <c r="K8" s="1" t="s">
        <v>2144</v>
      </c>
      <c r="M8" s="1" t="s">
        <v>2105</v>
      </c>
    </row>
    <row r="9" spans="1:22" x14ac:dyDescent="0.15">
      <c r="A9" s="1" t="s">
        <v>2093</v>
      </c>
      <c r="B9" t="s">
        <v>72</v>
      </c>
      <c r="D9" t="s">
        <v>1855</v>
      </c>
      <c r="E9" t="s">
        <v>1857</v>
      </c>
      <c r="F9" t="s">
        <v>122</v>
      </c>
      <c r="G9">
        <v>2010</v>
      </c>
      <c r="H9" t="s">
        <v>1858</v>
      </c>
      <c r="I9" t="s">
        <v>1862</v>
      </c>
      <c r="J9" s="1" t="s">
        <v>2101</v>
      </c>
      <c r="K9" s="1" t="s">
        <v>2308</v>
      </c>
      <c r="M9" s="1" t="s">
        <v>2292</v>
      </c>
      <c r="N9" s="1" t="s">
        <v>2143</v>
      </c>
    </row>
    <row r="10" spans="1:22" x14ac:dyDescent="0.15">
      <c r="A10" s="1" t="s">
        <v>2093</v>
      </c>
      <c r="B10" t="s">
        <v>72</v>
      </c>
      <c r="C10" s="1" t="s">
        <v>2155</v>
      </c>
      <c r="D10" s="1" t="s">
        <v>1864</v>
      </c>
      <c r="E10" s="1" t="s">
        <v>1866</v>
      </c>
      <c r="F10" t="s">
        <v>1867</v>
      </c>
      <c r="G10">
        <v>2010</v>
      </c>
      <c r="H10" s="1" t="s">
        <v>1868</v>
      </c>
      <c r="I10" t="s">
        <v>1875</v>
      </c>
      <c r="J10" s="1" t="s">
        <v>2142</v>
      </c>
      <c r="K10" s="1" t="s">
        <v>2098</v>
      </c>
      <c r="M10" s="1" t="s">
        <v>2358</v>
      </c>
      <c r="N10" s="1" t="s">
        <v>2153</v>
      </c>
      <c r="T10" s="1" t="s">
        <v>2216</v>
      </c>
      <c r="U10" s="1"/>
    </row>
    <row r="11" spans="1:22" x14ac:dyDescent="0.15">
      <c r="A11" s="1" t="s">
        <v>2092</v>
      </c>
      <c r="B11" t="s">
        <v>72</v>
      </c>
      <c r="C11" s="1" t="s">
        <v>2155</v>
      </c>
      <c r="D11" t="s">
        <v>902</v>
      </c>
      <c r="E11" t="s">
        <v>904</v>
      </c>
      <c r="F11" t="s">
        <v>122</v>
      </c>
      <c r="G11">
        <v>2011</v>
      </c>
      <c r="H11" t="s">
        <v>905</v>
      </c>
      <c r="I11" t="s">
        <v>909</v>
      </c>
      <c r="J11" s="1" t="s">
        <v>2101</v>
      </c>
      <c r="K11" s="1" t="s">
        <v>2098</v>
      </c>
      <c r="L11" s="1" t="s">
        <v>2105</v>
      </c>
      <c r="M11" s="1" t="s">
        <v>2105</v>
      </c>
      <c r="N11" s="1" t="s">
        <v>2153</v>
      </c>
      <c r="O11" s="1"/>
      <c r="P11" s="1"/>
      <c r="S11" s="1" t="s">
        <v>2154</v>
      </c>
    </row>
    <row r="12" spans="1:22" x14ac:dyDescent="0.15">
      <c r="A12" s="1" t="s">
        <v>2093</v>
      </c>
      <c r="B12" t="s">
        <v>72</v>
      </c>
      <c r="D12" t="s">
        <v>1775</v>
      </c>
      <c r="E12" s="1" t="s">
        <v>1777</v>
      </c>
      <c r="F12" t="s">
        <v>1778</v>
      </c>
      <c r="G12">
        <v>2014</v>
      </c>
      <c r="H12" t="s">
        <v>1779</v>
      </c>
      <c r="I12" t="s">
        <v>1783</v>
      </c>
      <c r="J12" s="1" t="s">
        <v>2142</v>
      </c>
      <c r="K12" s="1" t="s">
        <v>2098</v>
      </c>
      <c r="L12" s="1" t="s">
        <v>2145</v>
      </c>
      <c r="M12" s="1" t="s">
        <v>2145</v>
      </c>
      <c r="N12" s="1" t="s">
        <v>2147</v>
      </c>
      <c r="O12" s="1"/>
      <c r="P12" s="1"/>
      <c r="Q12" s="1" t="s">
        <v>2159</v>
      </c>
      <c r="R12" s="1"/>
      <c r="S12" s="1" t="s">
        <v>2158</v>
      </c>
      <c r="T12" s="1" t="s">
        <v>2160</v>
      </c>
      <c r="U12" s="1"/>
    </row>
    <row r="13" spans="1:22" x14ac:dyDescent="0.15">
      <c r="A13" s="1" t="s">
        <v>2093</v>
      </c>
      <c r="B13" t="s">
        <v>72</v>
      </c>
      <c r="D13" t="s">
        <v>1785</v>
      </c>
      <c r="E13" s="1" t="s">
        <v>1787</v>
      </c>
      <c r="F13" t="s">
        <v>96</v>
      </c>
      <c r="G13">
        <v>2014</v>
      </c>
      <c r="H13" t="s">
        <v>1788</v>
      </c>
      <c r="I13" t="s">
        <v>1790</v>
      </c>
      <c r="J13" s="1" t="s">
        <v>2101</v>
      </c>
      <c r="K13" s="1" t="s">
        <v>2098</v>
      </c>
      <c r="L13" s="1" t="s">
        <v>2156</v>
      </c>
      <c r="M13" s="1" t="s">
        <v>2156</v>
      </c>
      <c r="N13" s="1" t="s">
        <v>2153</v>
      </c>
      <c r="O13" s="1"/>
      <c r="P13" s="1"/>
      <c r="Q13" s="1" t="s">
        <v>2157</v>
      </c>
      <c r="R13" s="1"/>
      <c r="S13" s="1" t="s">
        <v>2154</v>
      </c>
    </row>
    <row r="14" spans="1:22" x14ac:dyDescent="0.15">
      <c r="A14" s="1" t="s">
        <v>2093</v>
      </c>
      <c r="B14" t="s">
        <v>72</v>
      </c>
      <c r="D14" t="s">
        <v>1808</v>
      </c>
      <c r="E14" t="s">
        <v>1810</v>
      </c>
      <c r="F14" t="s">
        <v>158</v>
      </c>
      <c r="G14">
        <v>2014</v>
      </c>
      <c r="H14" s="1" t="s">
        <v>1811</v>
      </c>
      <c r="I14" t="s">
        <v>1815</v>
      </c>
      <c r="J14" s="1" t="s">
        <v>2101</v>
      </c>
      <c r="K14" s="1" t="s">
        <v>2098</v>
      </c>
      <c r="L14" s="1" t="s">
        <v>2105</v>
      </c>
      <c r="M14" s="1" t="s">
        <v>2105</v>
      </c>
      <c r="N14" s="1" t="s">
        <v>2153</v>
      </c>
      <c r="O14" s="1" t="s">
        <v>2361</v>
      </c>
      <c r="P14" s="1"/>
      <c r="Q14" s="1" t="s">
        <v>2159</v>
      </c>
      <c r="R14" s="1"/>
      <c r="S14" s="1" t="s">
        <v>2161</v>
      </c>
    </row>
    <row r="15" spans="1:22" x14ac:dyDescent="0.15">
      <c r="A15" s="1" t="s">
        <v>2092</v>
      </c>
      <c r="B15" t="s">
        <v>72</v>
      </c>
      <c r="D15" t="s">
        <v>887</v>
      </c>
      <c r="E15" s="1" t="s">
        <v>898</v>
      </c>
      <c r="F15" t="s">
        <v>122</v>
      </c>
      <c r="G15">
        <v>2015</v>
      </c>
      <c r="H15" t="s">
        <v>899</v>
      </c>
      <c r="I15" s="1" t="s">
        <v>900</v>
      </c>
      <c r="K15" s="1" t="s">
        <v>2098</v>
      </c>
      <c r="M15" s="1" t="s">
        <v>2334</v>
      </c>
      <c r="O15" s="2" t="s">
        <v>2143</v>
      </c>
      <c r="P15" s="2"/>
    </row>
    <row r="16" spans="1:22" x14ac:dyDescent="0.15">
      <c r="A16" s="1" t="s">
        <v>2093</v>
      </c>
      <c r="B16" t="s">
        <v>72</v>
      </c>
      <c r="D16" t="s">
        <v>1759</v>
      </c>
      <c r="E16" t="s">
        <v>1761</v>
      </c>
      <c r="F16" t="s">
        <v>450</v>
      </c>
      <c r="G16">
        <v>2015</v>
      </c>
      <c r="H16" t="s">
        <v>1762</v>
      </c>
      <c r="I16" t="s">
        <v>1765</v>
      </c>
      <c r="J16" s="1" t="s">
        <v>2101</v>
      </c>
      <c r="K16" s="1" t="s">
        <v>2100</v>
      </c>
      <c r="L16" s="1" t="s">
        <v>2162</v>
      </c>
      <c r="M16" s="1" t="s">
        <v>2335</v>
      </c>
      <c r="O16" t="s">
        <v>2347</v>
      </c>
      <c r="Q16" s="1" t="s">
        <v>2163</v>
      </c>
      <c r="R16" s="1"/>
      <c r="S16" s="1" t="s">
        <v>2164</v>
      </c>
    </row>
    <row r="17" spans="1:22" x14ac:dyDescent="0.15">
      <c r="A17" s="1" t="s">
        <v>2093</v>
      </c>
      <c r="B17" t="s">
        <v>72</v>
      </c>
      <c r="C17" s="1" t="s">
        <v>2155</v>
      </c>
      <c r="D17" s="1" t="s">
        <v>1767</v>
      </c>
      <c r="E17" t="s">
        <v>1769</v>
      </c>
      <c r="F17" t="s">
        <v>122</v>
      </c>
      <c r="G17">
        <v>2015</v>
      </c>
      <c r="H17" t="s">
        <v>1770</v>
      </c>
      <c r="I17" t="s">
        <v>1773</v>
      </c>
      <c r="J17" s="1" t="s">
        <v>2101</v>
      </c>
      <c r="K17" s="1" t="s">
        <v>2098</v>
      </c>
      <c r="L17" s="1" t="s">
        <v>2167</v>
      </c>
      <c r="M17" s="1" t="s">
        <v>2336</v>
      </c>
      <c r="N17" s="1" t="s">
        <v>2166</v>
      </c>
      <c r="O17" t="s">
        <v>2348</v>
      </c>
      <c r="S17" s="1" t="s">
        <v>2165</v>
      </c>
    </row>
    <row r="18" spans="1:22" x14ac:dyDescent="0.15">
      <c r="A18" s="1" t="s">
        <v>2092</v>
      </c>
      <c r="B18" t="s">
        <v>72</v>
      </c>
      <c r="D18" t="s">
        <v>850</v>
      </c>
      <c r="E18" s="1" t="s">
        <v>852</v>
      </c>
      <c r="F18" t="s">
        <v>122</v>
      </c>
      <c r="G18">
        <v>2018</v>
      </c>
      <c r="H18" s="1" t="s">
        <v>853</v>
      </c>
      <c r="I18" t="s">
        <v>856</v>
      </c>
      <c r="J18" s="1" t="s">
        <v>2101</v>
      </c>
      <c r="K18" s="1" t="s">
        <v>2098</v>
      </c>
      <c r="M18" s="1" t="s">
        <v>2337</v>
      </c>
      <c r="O18" t="s">
        <v>2349</v>
      </c>
    </row>
    <row r="19" spans="1:22" x14ac:dyDescent="0.15">
      <c r="A19" s="1" t="s">
        <v>2092</v>
      </c>
      <c r="B19" t="s">
        <v>72</v>
      </c>
      <c r="D19" t="s">
        <v>858</v>
      </c>
      <c r="E19" t="s">
        <v>860</v>
      </c>
      <c r="F19" t="s">
        <v>77</v>
      </c>
      <c r="G19">
        <v>2018</v>
      </c>
      <c r="H19" t="s">
        <v>861</v>
      </c>
      <c r="I19" t="s">
        <v>865</v>
      </c>
      <c r="J19" s="1" t="s">
        <v>2142</v>
      </c>
      <c r="K19" s="1" t="s">
        <v>2583</v>
      </c>
      <c r="M19" s="1" t="s">
        <v>2338</v>
      </c>
      <c r="O19" t="s">
        <v>2350</v>
      </c>
    </row>
    <row r="20" spans="1:22" x14ac:dyDescent="0.15">
      <c r="A20" s="1" t="s">
        <v>2093</v>
      </c>
      <c r="B20" t="s">
        <v>72</v>
      </c>
      <c r="C20" s="1" t="s">
        <v>2155</v>
      </c>
      <c r="D20" t="s">
        <v>1601</v>
      </c>
      <c r="E20" t="s">
        <v>1603</v>
      </c>
      <c r="F20" t="s">
        <v>1604</v>
      </c>
      <c r="G20">
        <v>2018</v>
      </c>
      <c r="H20" t="s">
        <v>1605</v>
      </c>
      <c r="I20" t="s">
        <v>1611</v>
      </c>
      <c r="J20" s="1" t="s">
        <v>2101</v>
      </c>
      <c r="K20" s="1" t="s">
        <v>2168</v>
      </c>
      <c r="L20" s="1" t="s">
        <v>2172</v>
      </c>
      <c r="M20" s="1" t="s">
        <v>2339</v>
      </c>
      <c r="N20" s="1" t="s">
        <v>2171</v>
      </c>
      <c r="O20" t="s">
        <v>2351</v>
      </c>
      <c r="Q20" s="1" t="s">
        <v>2170</v>
      </c>
      <c r="R20" s="1"/>
      <c r="S20" s="1" t="s">
        <v>2169</v>
      </c>
    </row>
    <row r="21" spans="1:22" x14ac:dyDescent="0.15">
      <c r="A21" s="1" t="s">
        <v>2093</v>
      </c>
      <c r="B21" t="s">
        <v>72</v>
      </c>
      <c r="D21" t="s">
        <v>1613</v>
      </c>
      <c r="E21" t="s">
        <v>1615</v>
      </c>
      <c r="F21" t="s">
        <v>1616</v>
      </c>
      <c r="G21">
        <v>2018</v>
      </c>
      <c r="H21" s="1" t="s">
        <v>1617</v>
      </c>
      <c r="I21" t="s">
        <v>1622</v>
      </c>
      <c r="J21" s="1" t="s">
        <v>2101</v>
      </c>
      <c r="K21" s="1" t="s">
        <v>2174</v>
      </c>
      <c r="M21" s="1" t="s">
        <v>2340</v>
      </c>
      <c r="O21" t="s">
        <v>2352</v>
      </c>
      <c r="Q21" s="1" t="s">
        <v>2173</v>
      </c>
      <c r="R21" s="1"/>
    </row>
    <row r="22" spans="1:22" x14ac:dyDescent="0.15">
      <c r="A22" s="1" t="s">
        <v>2093</v>
      </c>
      <c r="B22" t="s">
        <v>72</v>
      </c>
      <c r="C22" s="1" t="s">
        <v>2155</v>
      </c>
      <c r="D22" t="s">
        <v>1548</v>
      </c>
      <c r="E22" t="s">
        <v>1550</v>
      </c>
      <c r="F22" t="s">
        <v>244</v>
      </c>
      <c r="G22">
        <v>2019</v>
      </c>
      <c r="H22" s="1" t="s">
        <v>1551</v>
      </c>
      <c r="I22" t="s">
        <v>1555</v>
      </c>
      <c r="J22" s="1" t="s">
        <v>2101</v>
      </c>
      <c r="K22" s="1" t="s">
        <v>2100</v>
      </c>
      <c r="L22" s="1" t="s">
        <v>2177</v>
      </c>
      <c r="M22" s="1" t="s">
        <v>2177</v>
      </c>
      <c r="N22" s="1" t="s">
        <v>2178</v>
      </c>
      <c r="O22" t="s">
        <v>2353</v>
      </c>
      <c r="Q22" s="1" t="s">
        <v>2175</v>
      </c>
      <c r="R22" s="1"/>
      <c r="S22" s="1" t="s">
        <v>2179</v>
      </c>
      <c r="T22" s="1" t="s">
        <v>2176</v>
      </c>
      <c r="U22" s="1"/>
    </row>
    <row r="23" spans="1:22" x14ac:dyDescent="0.15">
      <c r="A23" s="1" t="s">
        <v>2093</v>
      </c>
      <c r="B23" t="s">
        <v>72</v>
      </c>
      <c r="D23" t="s">
        <v>1557</v>
      </c>
      <c r="E23" s="1" t="s">
        <v>1559</v>
      </c>
      <c r="F23" t="s">
        <v>1560</v>
      </c>
      <c r="G23">
        <v>2019</v>
      </c>
      <c r="H23" t="s">
        <v>1561</v>
      </c>
      <c r="I23" t="s">
        <v>1567</v>
      </c>
      <c r="J23" s="1" t="s">
        <v>2101</v>
      </c>
      <c r="K23" s="1" t="s">
        <v>2098</v>
      </c>
      <c r="L23" s="1" t="s">
        <v>2143</v>
      </c>
      <c r="M23" s="1" t="s">
        <v>2341</v>
      </c>
      <c r="O23" t="s">
        <v>2354</v>
      </c>
    </row>
    <row r="24" spans="1:22" x14ac:dyDescent="0.15">
      <c r="A24" s="1" t="s">
        <v>2093</v>
      </c>
      <c r="B24" t="s">
        <v>72</v>
      </c>
      <c r="C24" s="1" t="s">
        <v>2155</v>
      </c>
      <c r="D24" t="s">
        <v>1578</v>
      </c>
      <c r="E24" t="s">
        <v>1580</v>
      </c>
      <c r="F24" t="s">
        <v>1540</v>
      </c>
      <c r="G24">
        <v>2019</v>
      </c>
      <c r="H24" t="s">
        <v>1581</v>
      </c>
      <c r="I24" t="s">
        <v>1583</v>
      </c>
      <c r="J24" s="1" t="s">
        <v>2101</v>
      </c>
      <c r="K24" s="1" t="s">
        <v>2180</v>
      </c>
      <c r="L24" s="1" t="s">
        <v>2181</v>
      </c>
      <c r="M24" s="1" t="s">
        <v>2181</v>
      </c>
      <c r="O24" t="s">
        <v>2355</v>
      </c>
      <c r="Q24" s="1" t="s">
        <v>2182</v>
      </c>
      <c r="R24" s="1"/>
      <c r="S24" s="1" t="s">
        <v>2183</v>
      </c>
    </row>
    <row r="25" spans="1:22" x14ac:dyDescent="0.15">
      <c r="A25" s="1" t="s">
        <v>2092</v>
      </c>
      <c r="B25" t="s">
        <v>72</v>
      </c>
      <c r="D25" t="s">
        <v>707</v>
      </c>
      <c r="E25" s="1" t="s">
        <v>709</v>
      </c>
      <c r="F25" t="s">
        <v>710</v>
      </c>
      <c r="G25">
        <v>2020</v>
      </c>
      <c r="H25" t="s">
        <v>711</v>
      </c>
      <c r="I25" t="s">
        <v>717</v>
      </c>
      <c r="J25" s="1" t="s">
        <v>2102</v>
      </c>
      <c r="K25" s="1" t="s">
        <v>2098</v>
      </c>
      <c r="L25" s="1" t="s">
        <v>2188</v>
      </c>
      <c r="M25" s="1" t="s">
        <v>2188</v>
      </c>
      <c r="N25" s="1" t="s">
        <v>2147</v>
      </c>
      <c r="O25" t="s">
        <v>2355</v>
      </c>
      <c r="Q25" s="1" t="s">
        <v>2189</v>
      </c>
      <c r="R25" s="1"/>
      <c r="S25" s="1" t="s">
        <v>2187</v>
      </c>
      <c r="U25">
        <v>0.42</v>
      </c>
      <c r="V25" s="1" t="s">
        <v>2372</v>
      </c>
    </row>
    <row r="26" spans="1:22" x14ac:dyDescent="0.15">
      <c r="A26" s="1" t="s">
        <v>2092</v>
      </c>
      <c r="B26" t="s">
        <v>72</v>
      </c>
      <c r="D26" t="s">
        <v>719</v>
      </c>
      <c r="E26" s="1" t="s">
        <v>721</v>
      </c>
      <c r="F26" t="s">
        <v>345</v>
      </c>
      <c r="G26">
        <v>2020</v>
      </c>
      <c r="H26" t="s">
        <v>722</v>
      </c>
      <c r="I26" s="1" t="s">
        <v>726</v>
      </c>
      <c r="J26" s="1" t="s">
        <v>2190</v>
      </c>
      <c r="K26" s="1" t="s">
        <v>2123</v>
      </c>
      <c r="L26" s="1" t="s">
        <v>2192</v>
      </c>
      <c r="M26" s="1" t="s">
        <v>2192</v>
      </c>
      <c r="N26" s="1" t="s">
        <v>2191</v>
      </c>
      <c r="O26" s="1" t="s">
        <v>2378</v>
      </c>
    </row>
    <row r="27" spans="1:22" x14ac:dyDescent="0.15">
      <c r="A27" s="1" t="s">
        <v>2092</v>
      </c>
      <c r="B27" t="s">
        <v>72</v>
      </c>
      <c r="D27" t="s">
        <v>728</v>
      </c>
      <c r="E27" s="1" t="s">
        <v>730</v>
      </c>
      <c r="F27" t="s">
        <v>77</v>
      </c>
      <c r="G27">
        <v>2020</v>
      </c>
      <c r="H27" t="s">
        <v>731</v>
      </c>
      <c r="I27" t="s">
        <v>735</v>
      </c>
      <c r="J27" s="1" t="s">
        <v>2106</v>
      </c>
      <c r="K27" s="1" t="s">
        <v>2107</v>
      </c>
      <c r="L27" s="1" t="s">
        <v>2231</v>
      </c>
      <c r="M27" s="1" t="s">
        <v>2231</v>
      </c>
      <c r="O27" s="1" t="s">
        <v>2377</v>
      </c>
    </row>
    <row r="28" spans="1:22" x14ac:dyDescent="0.15">
      <c r="A28" s="1" t="s">
        <v>2092</v>
      </c>
      <c r="B28" t="s">
        <v>72</v>
      </c>
      <c r="D28" t="s">
        <v>737</v>
      </c>
      <c r="E28" s="1" t="s">
        <v>739</v>
      </c>
      <c r="F28" t="s">
        <v>158</v>
      </c>
      <c r="G28">
        <v>2020</v>
      </c>
      <c r="H28" t="s">
        <v>740</v>
      </c>
      <c r="I28" t="s">
        <v>743</v>
      </c>
      <c r="J28" s="1" t="s">
        <v>2106</v>
      </c>
      <c r="K28" s="1" t="s">
        <v>2234</v>
      </c>
      <c r="L28" s="1" t="s">
        <v>2232</v>
      </c>
      <c r="M28" s="1" t="s">
        <v>2232</v>
      </c>
      <c r="O28" s="1" t="s">
        <v>2376</v>
      </c>
      <c r="V28" s="1" t="s">
        <v>2233</v>
      </c>
    </row>
    <row r="29" spans="1:22" x14ac:dyDescent="0.15">
      <c r="A29" s="1" t="s">
        <v>2092</v>
      </c>
      <c r="B29" t="s">
        <v>72</v>
      </c>
      <c r="D29" t="s">
        <v>745</v>
      </c>
      <c r="E29" s="1" t="s">
        <v>747</v>
      </c>
      <c r="F29" t="s">
        <v>748</v>
      </c>
      <c r="G29">
        <v>2020</v>
      </c>
      <c r="H29" s="1" t="s">
        <v>749</v>
      </c>
      <c r="I29" t="s">
        <v>753</v>
      </c>
      <c r="J29" s="1" t="s">
        <v>2101</v>
      </c>
      <c r="K29" s="1" t="s">
        <v>2100</v>
      </c>
      <c r="L29" s="1" t="s">
        <v>2235</v>
      </c>
      <c r="M29" s="1" t="s">
        <v>2235</v>
      </c>
      <c r="O29" s="1" t="s">
        <v>2375</v>
      </c>
      <c r="Q29" s="1" t="s">
        <v>2236</v>
      </c>
      <c r="R29" s="1"/>
      <c r="V29" s="1" t="s">
        <v>2233</v>
      </c>
    </row>
    <row r="30" spans="1:22" x14ac:dyDescent="0.15">
      <c r="A30" s="1" t="s">
        <v>2092</v>
      </c>
      <c r="B30" t="s">
        <v>72</v>
      </c>
      <c r="D30" t="s">
        <v>755</v>
      </c>
      <c r="E30" s="1" t="s">
        <v>757</v>
      </c>
      <c r="F30" t="s">
        <v>758</v>
      </c>
      <c r="G30">
        <v>2020</v>
      </c>
      <c r="H30" t="s">
        <v>759</v>
      </c>
      <c r="I30" t="s">
        <v>763</v>
      </c>
      <c r="J30" s="1" t="s">
        <v>2101</v>
      </c>
      <c r="K30" s="1" t="s">
        <v>2237</v>
      </c>
      <c r="M30" t="s">
        <v>2344</v>
      </c>
      <c r="O30" s="1" t="s">
        <v>2374</v>
      </c>
    </row>
    <row r="31" spans="1:22" x14ac:dyDescent="0.15">
      <c r="A31" s="1" t="s">
        <v>2093</v>
      </c>
      <c r="B31" t="s">
        <v>72</v>
      </c>
      <c r="D31" t="s">
        <v>1485</v>
      </c>
      <c r="E31" t="s">
        <v>1487</v>
      </c>
      <c r="F31" t="s">
        <v>96</v>
      </c>
      <c r="G31">
        <v>2020</v>
      </c>
      <c r="H31" t="s">
        <v>1488</v>
      </c>
      <c r="I31" t="s">
        <v>1490</v>
      </c>
      <c r="J31" s="1" t="s">
        <v>2101</v>
      </c>
      <c r="K31" s="1" t="s">
        <v>2098</v>
      </c>
      <c r="L31" s="1" t="s">
        <v>2105</v>
      </c>
      <c r="M31" t="s">
        <v>2342</v>
      </c>
      <c r="N31" s="1" t="s">
        <v>2193</v>
      </c>
      <c r="O31" s="1" t="s">
        <v>2373</v>
      </c>
      <c r="Q31" s="1" t="s">
        <v>2193</v>
      </c>
      <c r="R31" s="1"/>
      <c r="T31" s="1" t="s">
        <v>2186</v>
      </c>
      <c r="U31" s="1"/>
    </row>
    <row r="32" spans="1:22" x14ac:dyDescent="0.15">
      <c r="A32" s="1" t="s">
        <v>2093</v>
      </c>
      <c r="B32" t="s">
        <v>72</v>
      </c>
      <c r="D32" t="s">
        <v>1492</v>
      </c>
      <c r="E32" t="s">
        <v>1494</v>
      </c>
      <c r="F32" t="s">
        <v>147</v>
      </c>
      <c r="G32">
        <v>2020</v>
      </c>
      <c r="H32" t="s">
        <v>1495</v>
      </c>
      <c r="I32" t="s">
        <v>1498</v>
      </c>
      <c r="J32" s="1" t="s">
        <v>2101</v>
      </c>
      <c r="K32" s="1" t="s">
        <v>2098</v>
      </c>
      <c r="L32" s="1" t="s">
        <v>2105</v>
      </c>
      <c r="M32" s="1" t="s">
        <v>2105</v>
      </c>
      <c r="N32" s="1" t="s">
        <v>2196</v>
      </c>
      <c r="O32" s="1" t="s">
        <v>2436</v>
      </c>
      <c r="Q32" s="1" t="s">
        <v>2173</v>
      </c>
      <c r="R32" s="1"/>
      <c r="S32" s="1" t="s">
        <v>2194</v>
      </c>
      <c r="T32" s="1" t="s">
        <v>2195</v>
      </c>
      <c r="U32" s="1"/>
      <c r="V32" s="1" t="s">
        <v>2185</v>
      </c>
    </row>
    <row r="33" spans="1:22" x14ac:dyDescent="0.15">
      <c r="A33" s="1" t="s">
        <v>2093</v>
      </c>
      <c r="B33" t="s">
        <v>72</v>
      </c>
      <c r="D33" t="s">
        <v>1500</v>
      </c>
      <c r="E33" t="s">
        <v>1502</v>
      </c>
      <c r="F33" t="s">
        <v>1503</v>
      </c>
      <c r="G33">
        <v>2020</v>
      </c>
      <c r="H33" t="s">
        <v>1504</v>
      </c>
      <c r="I33" t="s">
        <v>1510</v>
      </c>
      <c r="J33" s="1" t="s">
        <v>2143</v>
      </c>
      <c r="K33" s="1" t="s">
        <v>2143</v>
      </c>
      <c r="L33" s="1" t="s">
        <v>2143</v>
      </c>
      <c r="M33" s="1" t="s">
        <v>2379</v>
      </c>
      <c r="O33" s="1" t="s">
        <v>2437</v>
      </c>
      <c r="V33" s="1" t="s">
        <v>2197</v>
      </c>
    </row>
    <row r="34" spans="1:22" x14ac:dyDescent="0.15">
      <c r="A34" s="1" t="s">
        <v>2093</v>
      </c>
      <c r="B34" t="s">
        <v>72</v>
      </c>
      <c r="C34" s="1" t="s">
        <v>2155</v>
      </c>
      <c r="D34" s="1" t="s">
        <v>1512</v>
      </c>
      <c r="E34" s="1" t="s">
        <v>1514</v>
      </c>
      <c r="F34" t="s">
        <v>1059</v>
      </c>
      <c r="G34">
        <v>2020</v>
      </c>
      <c r="H34" s="1" t="s">
        <v>1515</v>
      </c>
      <c r="I34" t="s">
        <v>1519</v>
      </c>
      <c r="J34" s="1" t="s">
        <v>2106</v>
      </c>
      <c r="K34" s="1" t="s">
        <v>2107</v>
      </c>
      <c r="L34" s="1" t="s">
        <v>2199</v>
      </c>
      <c r="M34" s="1" t="s">
        <v>2199</v>
      </c>
      <c r="N34" s="1" t="s">
        <v>2200</v>
      </c>
      <c r="O34" s="1" t="s">
        <v>2438</v>
      </c>
      <c r="Q34" s="1" t="s">
        <v>2198</v>
      </c>
      <c r="R34" s="1"/>
    </row>
    <row r="35" spans="1:22" x14ac:dyDescent="0.15">
      <c r="A35" s="1" t="s">
        <v>2092</v>
      </c>
      <c r="B35" t="s">
        <v>72</v>
      </c>
      <c r="D35" t="s">
        <v>649</v>
      </c>
      <c r="E35" s="1" t="s">
        <v>651</v>
      </c>
      <c r="F35" t="s">
        <v>122</v>
      </c>
      <c r="G35">
        <v>2021</v>
      </c>
      <c r="H35" t="s">
        <v>652</v>
      </c>
      <c r="I35" t="s">
        <v>655</v>
      </c>
      <c r="J35" s="1" t="s">
        <v>2106</v>
      </c>
      <c r="K35" s="1" t="s">
        <v>2107</v>
      </c>
      <c r="M35" s="1" t="s">
        <v>2380</v>
      </c>
      <c r="O35" s="1" t="s">
        <v>2439</v>
      </c>
      <c r="T35" s="1" t="s">
        <v>2217</v>
      </c>
      <c r="U35" s="1"/>
    </row>
    <row r="36" spans="1:22" x14ac:dyDescent="0.15">
      <c r="A36" s="1" t="s">
        <v>2092</v>
      </c>
      <c r="B36" t="s">
        <v>72</v>
      </c>
      <c r="D36" t="s">
        <v>658</v>
      </c>
      <c r="E36" s="1" t="s">
        <v>660</v>
      </c>
      <c r="F36" t="s">
        <v>661</v>
      </c>
      <c r="G36">
        <v>2021</v>
      </c>
      <c r="H36" t="s">
        <v>662</v>
      </c>
      <c r="I36" t="s">
        <v>667</v>
      </c>
      <c r="J36" s="1" t="s">
        <v>2142</v>
      </c>
      <c r="K36" s="1" t="s">
        <v>2107</v>
      </c>
      <c r="M36" s="1" t="s">
        <v>2345</v>
      </c>
      <c r="O36" s="1" t="s">
        <v>2440</v>
      </c>
    </row>
    <row r="37" spans="1:22" x14ac:dyDescent="0.15">
      <c r="A37" s="1" t="s">
        <v>2092</v>
      </c>
      <c r="B37" t="s">
        <v>72</v>
      </c>
      <c r="C37" s="1" t="s">
        <v>2155</v>
      </c>
      <c r="D37" s="1" t="s">
        <v>669</v>
      </c>
      <c r="E37" t="s">
        <v>671</v>
      </c>
      <c r="F37" t="s">
        <v>122</v>
      </c>
      <c r="G37">
        <v>2021</v>
      </c>
      <c r="H37" s="1" t="s">
        <v>672</v>
      </c>
      <c r="I37" t="s">
        <v>676</v>
      </c>
      <c r="J37" s="1" t="s">
        <v>2101</v>
      </c>
      <c r="K37" s="1" t="s">
        <v>2123</v>
      </c>
      <c r="M37" s="1" t="s">
        <v>2381</v>
      </c>
      <c r="O37" s="1" t="s">
        <v>2441</v>
      </c>
      <c r="S37" s="1" t="s">
        <v>2203</v>
      </c>
    </row>
    <row r="38" spans="1:22" x14ac:dyDescent="0.15">
      <c r="A38" s="1" t="s">
        <v>2092</v>
      </c>
      <c r="B38" t="s">
        <v>72</v>
      </c>
      <c r="D38" t="s">
        <v>679</v>
      </c>
      <c r="E38" s="1" t="s">
        <v>681</v>
      </c>
      <c r="F38" t="s">
        <v>122</v>
      </c>
      <c r="G38">
        <v>2021</v>
      </c>
      <c r="H38" t="s">
        <v>682</v>
      </c>
      <c r="I38" t="s">
        <v>686</v>
      </c>
      <c r="J38" s="1" t="s">
        <v>2101</v>
      </c>
      <c r="K38" s="1" t="s">
        <v>2201</v>
      </c>
      <c r="M38" s="1" t="s">
        <v>2382</v>
      </c>
      <c r="O38" s="1" t="s">
        <v>2442</v>
      </c>
      <c r="S38" s="1" t="s">
        <v>2204</v>
      </c>
    </row>
    <row r="39" spans="1:22" x14ac:dyDescent="0.15">
      <c r="A39" s="1" t="s">
        <v>2093</v>
      </c>
      <c r="B39" t="s">
        <v>72</v>
      </c>
      <c r="D39" t="s">
        <v>1383</v>
      </c>
      <c r="E39" t="s">
        <v>1385</v>
      </c>
      <c r="F39" t="s">
        <v>122</v>
      </c>
      <c r="G39">
        <v>2021</v>
      </c>
      <c r="H39" t="s">
        <v>1386</v>
      </c>
      <c r="I39" t="s">
        <v>1389</v>
      </c>
      <c r="J39" s="1" t="s">
        <v>2101</v>
      </c>
      <c r="K39" s="1" t="s">
        <v>2107</v>
      </c>
      <c r="M39" s="1" t="s">
        <v>2383</v>
      </c>
      <c r="O39" s="1" t="s">
        <v>2443</v>
      </c>
      <c r="S39" s="1" t="s">
        <v>2202</v>
      </c>
    </row>
    <row r="40" spans="1:22" x14ac:dyDescent="0.15">
      <c r="A40" s="1" t="s">
        <v>2093</v>
      </c>
      <c r="B40" t="s">
        <v>72</v>
      </c>
      <c r="D40" t="s">
        <v>1399</v>
      </c>
      <c r="E40" t="s">
        <v>1401</v>
      </c>
      <c r="F40" t="s">
        <v>540</v>
      </c>
      <c r="G40">
        <v>2021</v>
      </c>
      <c r="H40" t="s">
        <v>1402</v>
      </c>
      <c r="I40" s="1" t="s">
        <v>1404</v>
      </c>
      <c r="J40" s="1" t="s">
        <v>2190</v>
      </c>
      <c r="K40" s="1" t="s">
        <v>2205</v>
      </c>
      <c r="M40" s="1" t="s">
        <v>2192</v>
      </c>
      <c r="O40" s="1" t="s">
        <v>2444</v>
      </c>
    </row>
    <row r="41" spans="1:22" x14ac:dyDescent="0.15">
      <c r="A41" s="1" t="s">
        <v>2093</v>
      </c>
      <c r="B41" t="s">
        <v>72</v>
      </c>
      <c r="D41" t="s">
        <v>1429</v>
      </c>
      <c r="E41" s="1" t="s">
        <v>1431</v>
      </c>
      <c r="F41" t="s">
        <v>77</v>
      </c>
      <c r="G41">
        <v>2021</v>
      </c>
      <c r="H41" t="s">
        <v>1432</v>
      </c>
      <c r="I41" t="s">
        <v>1434</v>
      </c>
      <c r="J41" s="1" t="s">
        <v>2101</v>
      </c>
      <c r="K41" s="1" t="s">
        <v>2107</v>
      </c>
      <c r="M41" s="1" t="s">
        <v>2384</v>
      </c>
      <c r="O41" s="1" t="s">
        <v>2445</v>
      </c>
      <c r="S41" s="1" t="s">
        <v>2202</v>
      </c>
    </row>
    <row r="42" spans="1:22" x14ac:dyDescent="0.15">
      <c r="A42" s="1" t="s">
        <v>2093</v>
      </c>
      <c r="B42" t="s">
        <v>72</v>
      </c>
      <c r="D42" t="s">
        <v>1457</v>
      </c>
      <c r="E42" s="1" t="s">
        <v>1459</v>
      </c>
      <c r="F42" t="s">
        <v>244</v>
      </c>
      <c r="G42">
        <v>2021</v>
      </c>
      <c r="H42" t="s">
        <v>1460</v>
      </c>
      <c r="I42" t="s">
        <v>1463</v>
      </c>
      <c r="J42" s="1" t="s">
        <v>2101</v>
      </c>
      <c r="K42" s="1" t="s">
        <v>2218</v>
      </c>
      <c r="M42" s="1" t="s">
        <v>2385</v>
      </c>
      <c r="O42" s="1" t="s">
        <v>2446</v>
      </c>
    </row>
    <row r="43" spans="1:22" x14ac:dyDescent="0.15">
      <c r="A43" s="1" t="s">
        <v>2092</v>
      </c>
      <c r="B43" t="s">
        <v>72</v>
      </c>
      <c r="D43" t="s">
        <v>524</v>
      </c>
      <c r="E43" s="1" t="s">
        <v>526</v>
      </c>
      <c r="F43" t="s">
        <v>527</v>
      </c>
      <c r="G43">
        <v>2022</v>
      </c>
      <c r="H43" t="s">
        <v>528</v>
      </c>
      <c r="I43" t="s">
        <v>535</v>
      </c>
      <c r="J43" s="1" t="s">
        <v>2106</v>
      </c>
      <c r="K43" s="1" t="s">
        <v>2219</v>
      </c>
      <c r="M43" s="1" t="s">
        <v>2386</v>
      </c>
      <c r="O43" s="1" t="s">
        <v>2143</v>
      </c>
    </row>
    <row r="44" spans="1:22" x14ac:dyDescent="0.15">
      <c r="A44" s="1" t="s">
        <v>2092</v>
      </c>
      <c r="B44" t="s">
        <v>72</v>
      </c>
      <c r="D44" t="s">
        <v>547</v>
      </c>
      <c r="E44" s="1" t="s">
        <v>549</v>
      </c>
      <c r="F44" t="s">
        <v>399</v>
      </c>
      <c r="G44">
        <v>2022</v>
      </c>
      <c r="H44" t="s">
        <v>550</v>
      </c>
      <c r="I44" t="s">
        <v>553</v>
      </c>
      <c r="J44" s="1" t="s">
        <v>2101</v>
      </c>
      <c r="K44" s="1" t="s">
        <v>2123</v>
      </c>
      <c r="M44" s="1" t="s">
        <v>2387</v>
      </c>
      <c r="O44" s="1" t="s">
        <v>2466</v>
      </c>
      <c r="S44" s="1" t="s">
        <v>2220</v>
      </c>
    </row>
    <row r="45" spans="1:22" x14ac:dyDescent="0.15">
      <c r="A45" s="1" t="s">
        <v>2092</v>
      </c>
      <c r="B45" t="s">
        <v>72</v>
      </c>
      <c r="D45" t="s">
        <v>555</v>
      </c>
      <c r="E45" t="s">
        <v>557</v>
      </c>
      <c r="F45" t="s">
        <v>122</v>
      </c>
      <c r="G45">
        <v>2022</v>
      </c>
      <c r="H45" t="s">
        <v>558</v>
      </c>
      <c r="I45" t="s">
        <v>562</v>
      </c>
      <c r="J45" s="1" t="s">
        <v>2101</v>
      </c>
      <c r="K45" s="1" t="s">
        <v>2107</v>
      </c>
      <c r="M45" s="1" t="s">
        <v>2388</v>
      </c>
      <c r="O45" s="1" t="s">
        <v>2467</v>
      </c>
      <c r="S45" s="1" t="s">
        <v>2221</v>
      </c>
    </row>
    <row r="46" spans="1:22" x14ac:dyDescent="0.15">
      <c r="A46" s="1" t="s">
        <v>2092</v>
      </c>
      <c r="B46" t="s">
        <v>72</v>
      </c>
      <c r="D46" t="s">
        <v>565</v>
      </c>
      <c r="E46" s="1" t="s">
        <v>567</v>
      </c>
      <c r="F46" t="s">
        <v>568</v>
      </c>
      <c r="G46">
        <v>2022</v>
      </c>
      <c r="H46" t="s">
        <v>569</v>
      </c>
      <c r="I46" t="s">
        <v>574</v>
      </c>
      <c r="J46" s="1" t="s">
        <v>2142</v>
      </c>
      <c r="K46" s="1" t="s">
        <v>2222</v>
      </c>
      <c r="M46" s="1" t="s">
        <v>2389</v>
      </c>
      <c r="O46" s="1" t="s">
        <v>2468</v>
      </c>
    </row>
    <row r="47" spans="1:22" x14ac:dyDescent="0.15">
      <c r="A47" s="1" t="s">
        <v>2092</v>
      </c>
      <c r="B47" t="s">
        <v>72</v>
      </c>
      <c r="D47" t="s">
        <v>589</v>
      </c>
      <c r="E47" s="1" t="s">
        <v>591</v>
      </c>
      <c r="F47" t="s">
        <v>287</v>
      </c>
      <c r="G47">
        <v>2022</v>
      </c>
      <c r="H47" t="s">
        <v>592</v>
      </c>
      <c r="I47" s="1" t="s">
        <v>594</v>
      </c>
      <c r="J47" s="1" t="s">
        <v>2190</v>
      </c>
      <c r="K47" s="1" t="s">
        <v>2223</v>
      </c>
      <c r="M47" s="1" t="s">
        <v>2390</v>
      </c>
      <c r="O47" s="1" t="s">
        <v>2469</v>
      </c>
    </row>
    <row r="48" spans="1:22" x14ac:dyDescent="0.15">
      <c r="A48" s="1" t="s">
        <v>2092</v>
      </c>
      <c r="B48" t="s">
        <v>72</v>
      </c>
      <c r="D48" t="s">
        <v>604</v>
      </c>
      <c r="E48" s="1" t="s">
        <v>606</v>
      </c>
      <c r="F48" t="s">
        <v>96</v>
      </c>
      <c r="G48">
        <v>2022</v>
      </c>
      <c r="H48" s="1" t="s">
        <v>607</v>
      </c>
      <c r="I48" t="s">
        <v>610</v>
      </c>
      <c r="J48" s="1" t="s">
        <v>2142</v>
      </c>
      <c r="K48" s="1" t="s">
        <v>2224</v>
      </c>
      <c r="L48" s="1" t="s">
        <v>2226</v>
      </c>
      <c r="M48" s="1" t="s">
        <v>2391</v>
      </c>
      <c r="N48" s="1" t="s">
        <v>2225</v>
      </c>
      <c r="O48" s="1" t="s">
        <v>2470</v>
      </c>
    </row>
    <row r="49" spans="1:22" x14ac:dyDescent="0.15">
      <c r="A49" s="1" t="s">
        <v>2092</v>
      </c>
      <c r="B49" t="s">
        <v>72</v>
      </c>
      <c r="D49" t="s">
        <v>612</v>
      </c>
      <c r="E49" s="1" t="s">
        <v>614</v>
      </c>
      <c r="F49" t="s">
        <v>450</v>
      </c>
      <c r="G49">
        <v>2022</v>
      </c>
      <c r="H49" t="s">
        <v>615</v>
      </c>
      <c r="I49" t="s">
        <v>618</v>
      </c>
      <c r="J49" s="1" t="s">
        <v>2106</v>
      </c>
      <c r="K49" s="1" t="s">
        <v>2228</v>
      </c>
      <c r="L49" s="1" t="s">
        <v>2227</v>
      </c>
      <c r="M49" s="1" t="s">
        <v>2392</v>
      </c>
      <c r="O49" s="1" t="s">
        <v>2471</v>
      </c>
    </row>
    <row r="50" spans="1:22" x14ac:dyDescent="0.15">
      <c r="A50" s="1" t="s">
        <v>2092</v>
      </c>
      <c r="B50" t="s">
        <v>72</v>
      </c>
      <c r="D50" t="s">
        <v>620</v>
      </c>
      <c r="E50" s="1" t="s">
        <v>622</v>
      </c>
      <c r="F50" t="s">
        <v>450</v>
      </c>
      <c r="G50">
        <v>2022</v>
      </c>
      <c r="H50" t="s">
        <v>623</v>
      </c>
      <c r="I50" t="s">
        <v>626</v>
      </c>
      <c r="J50" s="1" t="s">
        <v>2229</v>
      </c>
      <c r="K50" s="1" t="s">
        <v>2133</v>
      </c>
      <c r="M50" s="1" t="s">
        <v>2393</v>
      </c>
      <c r="O50" s="1" t="s">
        <v>2472</v>
      </c>
    </row>
    <row r="51" spans="1:22" x14ac:dyDescent="0.15">
      <c r="A51" s="1" t="s">
        <v>2092</v>
      </c>
      <c r="B51" t="s">
        <v>72</v>
      </c>
      <c r="D51" t="s">
        <v>642</v>
      </c>
      <c r="E51" s="1" t="s">
        <v>644</v>
      </c>
      <c r="F51" t="s">
        <v>450</v>
      </c>
      <c r="G51">
        <v>2022</v>
      </c>
      <c r="H51" t="s">
        <v>645</v>
      </c>
      <c r="I51" t="s">
        <v>647</v>
      </c>
      <c r="J51" s="1" t="s">
        <v>2106</v>
      </c>
      <c r="K51" s="1" t="s">
        <v>2133</v>
      </c>
      <c r="M51" s="1" t="s">
        <v>2394</v>
      </c>
      <c r="O51" s="1" t="s">
        <v>2473</v>
      </c>
      <c r="V51" s="1" t="s">
        <v>2230</v>
      </c>
    </row>
    <row r="52" spans="1:22" x14ac:dyDescent="0.15">
      <c r="A52" s="1" t="s">
        <v>2093</v>
      </c>
      <c r="B52" t="s">
        <v>72</v>
      </c>
      <c r="D52" t="s">
        <v>1242</v>
      </c>
      <c r="E52" s="1" t="s">
        <v>1244</v>
      </c>
      <c r="F52" t="s">
        <v>1245</v>
      </c>
      <c r="G52">
        <v>2022</v>
      </c>
      <c r="H52" s="1" t="s">
        <v>1246</v>
      </c>
      <c r="I52" t="s">
        <v>1249</v>
      </c>
      <c r="J52" s="1" t="s">
        <v>2258</v>
      </c>
      <c r="K52" s="1" t="s">
        <v>2238</v>
      </c>
      <c r="M52" s="1" t="s">
        <v>2395</v>
      </c>
      <c r="O52" s="1" t="s">
        <v>2474</v>
      </c>
    </row>
    <row r="53" spans="1:22" x14ac:dyDescent="0.15">
      <c r="A53" s="1" t="s">
        <v>2093</v>
      </c>
      <c r="B53" t="s">
        <v>72</v>
      </c>
      <c r="D53" t="s">
        <v>1251</v>
      </c>
      <c r="E53" s="1" t="s">
        <v>1253</v>
      </c>
      <c r="F53" t="s">
        <v>147</v>
      </c>
      <c r="G53">
        <v>2022</v>
      </c>
      <c r="H53" t="s">
        <v>1254</v>
      </c>
      <c r="I53" t="s">
        <v>1256</v>
      </c>
      <c r="J53" s="1" t="s">
        <v>2305</v>
      </c>
      <c r="K53" s="1" t="s">
        <v>2107</v>
      </c>
      <c r="L53" s="1" t="s">
        <v>2121</v>
      </c>
      <c r="M53" s="1" t="s">
        <v>2396</v>
      </c>
      <c r="O53" s="1" t="s">
        <v>2475</v>
      </c>
      <c r="V53" s="1" t="s">
        <v>2120</v>
      </c>
    </row>
    <row r="54" spans="1:22" x14ac:dyDescent="0.15">
      <c r="A54" s="1" t="s">
        <v>2093</v>
      </c>
      <c r="B54" t="s">
        <v>72</v>
      </c>
      <c r="D54" t="s">
        <v>1258</v>
      </c>
      <c r="E54" s="1" t="s">
        <v>1260</v>
      </c>
      <c r="F54" t="s">
        <v>1261</v>
      </c>
      <c r="G54">
        <v>2022</v>
      </c>
      <c r="H54" t="s">
        <v>1262</v>
      </c>
      <c r="I54" s="1" t="s">
        <v>1266</v>
      </c>
      <c r="J54" s="1" t="s">
        <v>2190</v>
      </c>
      <c r="K54" s="1" t="s">
        <v>2265</v>
      </c>
      <c r="L54" s="1" t="s">
        <v>2113</v>
      </c>
      <c r="M54" s="1" t="s">
        <v>2397</v>
      </c>
      <c r="O54" s="1" t="s">
        <v>2143</v>
      </c>
      <c r="T54" s="1" t="s">
        <v>2112</v>
      </c>
      <c r="U54" s="1"/>
    </row>
    <row r="55" spans="1:22" x14ac:dyDescent="0.15">
      <c r="A55" s="1" t="s">
        <v>2093</v>
      </c>
      <c r="B55" t="s">
        <v>72</v>
      </c>
      <c r="D55" t="s">
        <v>1276</v>
      </c>
      <c r="E55" s="1" t="s">
        <v>1278</v>
      </c>
      <c r="F55" t="s">
        <v>147</v>
      </c>
      <c r="G55">
        <v>2022</v>
      </c>
      <c r="H55" s="1" t="s">
        <v>1279</v>
      </c>
      <c r="I55" t="s">
        <v>1282</v>
      </c>
      <c r="J55" s="1" t="s">
        <v>2101</v>
      </c>
      <c r="K55" s="1" t="s">
        <v>2117</v>
      </c>
      <c r="L55" s="1" t="s">
        <v>2119</v>
      </c>
      <c r="M55" s="1" t="s">
        <v>2398</v>
      </c>
      <c r="O55" s="1" t="s">
        <v>2143</v>
      </c>
      <c r="T55" s="1" t="s">
        <v>2118</v>
      </c>
      <c r="U55" s="1"/>
    </row>
    <row r="56" spans="1:22" x14ac:dyDescent="0.15">
      <c r="A56" s="1" t="s">
        <v>2093</v>
      </c>
      <c r="B56" t="s">
        <v>72</v>
      </c>
      <c r="C56" s="1" t="s">
        <v>2332</v>
      </c>
      <c r="D56" t="s">
        <v>1294</v>
      </c>
      <c r="E56" s="1" t="s">
        <v>1296</v>
      </c>
      <c r="F56" t="s">
        <v>147</v>
      </c>
      <c r="G56">
        <v>2022</v>
      </c>
      <c r="H56" t="s">
        <v>1297</v>
      </c>
      <c r="I56" t="s">
        <v>1300</v>
      </c>
      <c r="J56" s="1" t="s">
        <v>2229</v>
      </c>
      <c r="K56" s="1" t="s">
        <v>2306</v>
      </c>
      <c r="L56" s="1" t="s">
        <v>2125</v>
      </c>
      <c r="M56" s="1" t="s">
        <v>2399</v>
      </c>
      <c r="O56" s="1" t="s">
        <v>2476</v>
      </c>
      <c r="T56" s="1" t="s">
        <v>2124</v>
      </c>
      <c r="U56" s="1"/>
    </row>
    <row r="57" spans="1:22" x14ac:dyDescent="0.15">
      <c r="A57" s="1" t="s">
        <v>2093</v>
      </c>
      <c r="B57" t="s">
        <v>72</v>
      </c>
      <c r="D57" t="s">
        <v>1318</v>
      </c>
      <c r="E57" t="s">
        <v>1320</v>
      </c>
      <c r="F57" t="s">
        <v>96</v>
      </c>
      <c r="G57">
        <v>2022</v>
      </c>
      <c r="H57" t="s">
        <v>1321</v>
      </c>
      <c r="I57" t="s">
        <v>1324</v>
      </c>
      <c r="J57" s="1" t="s">
        <v>2101</v>
      </c>
      <c r="K57" s="1" t="s">
        <v>2109</v>
      </c>
      <c r="L57" s="1" t="s">
        <v>2111</v>
      </c>
      <c r="M57" s="1" t="s">
        <v>2400</v>
      </c>
      <c r="O57" s="1" t="s">
        <v>2477</v>
      </c>
      <c r="T57" s="1" t="s">
        <v>2110</v>
      </c>
      <c r="U57" s="1"/>
    </row>
    <row r="58" spans="1:22" x14ac:dyDescent="0.15">
      <c r="A58" s="1" t="s">
        <v>2093</v>
      </c>
      <c r="B58" t="s">
        <v>72</v>
      </c>
      <c r="D58" t="s">
        <v>1326</v>
      </c>
      <c r="E58" s="1" t="s">
        <v>1328</v>
      </c>
      <c r="F58" t="s">
        <v>96</v>
      </c>
      <c r="G58">
        <v>2022</v>
      </c>
      <c r="H58" t="s">
        <v>1329</v>
      </c>
      <c r="I58" t="s">
        <v>1332</v>
      </c>
      <c r="J58" s="1" t="s">
        <v>2101</v>
      </c>
      <c r="K58" s="1" t="s">
        <v>2107</v>
      </c>
      <c r="L58" s="1" t="s">
        <v>2105</v>
      </c>
      <c r="M58" s="1" t="s">
        <v>2401</v>
      </c>
      <c r="O58" s="1" t="s">
        <v>2478</v>
      </c>
    </row>
    <row r="59" spans="1:22" x14ac:dyDescent="0.15">
      <c r="A59" s="1" t="s">
        <v>2092</v>
      </c>
      <c r="B59" t="s">
        <v>72</v>
      </c>
      <c r="D59" t="s">
        <v>458</v>
      </c>
      <c r="E59" s="1" t="s">
        <v>460</v>
      </c>
      <c r="F59" t="s">
        <v>214</v>
      </c>
      <c r="G59">
        <v>2023</v>
      </c>
      <c r="H59" s="1" t="s">
        <v>461</v>
      </c>
      <c r="I59" t="s">
        <v>465</v>
      </c>
      <c r="J59" s="1" t="s">
        <v>2142</v>
      </c>
      <c r="K59" s="1" t="s">
        <v>2242</v>
      </c>
      <c r="L59" s="1" t="s">
        <v>2240</v>
      </c>
      <c r="M59" s="1" t="s">
        <v>2402</v>
      </c>
      <c r="O59" s="1" t="s">
        <v>2479</v>
      </c>
      <c r="Q59" s="1" t="s">
        <v>2243</v>
      </c>
      <c r="R59" s="1"/>
      <c r="S59" s="1" t="s">
        <v>2239</v>
      </c>
      <c r="T59" s="1" t="s">
        <v>2241</v>
      </c>
      <c r="U59" s="1"/>
      <c r="V59" s="1" t="s">
        <v>2233</v>
      </c>
    </row>
    <row r="60" spans="1:22" x14ac:dyDescent="0.15">
      <c r="A60" s="1" t="s">
        <v>2092</v>
      </c>
      <c r="B60" t="s">
        <v>72</v>
      </c>
      <c r="D60" t="s">
        <v>468</v>
      </c>
      <c r="E60" s="1" t="s">
        <v>470</v>
      </c>
      <c r="F60" t="s">
        <v>122</v>
      </c>
      <c r="G60">
        <v>2023</v>
      </c>
      <c r="H60" t="s">
        <v>471</v>
      </c>
      <c r="I60" t="s">
        <v>475</v>
      </c>
      <c r="J60" s="1" t="s">
        <v>2106</v>
      </c>
      <c r="K60" s="1" t="s">
        <v>2107</v>
      </c>
      <c r="M60" s="1" t="s">
        <v>2403</v>
      </c>
      <c r="O60" s="1" t="s">
        <v>2480</v>
      </c>
      <c r="U60" s="1" t="s">
        <v>2366</v>
      </c>
      <c r="V60" s="1" t="s">
        <v>2367</v>
      </c>
    </row>
    <row r="61" spans="1:22" x14ac:dyDescent="0.15">
      <c r="A61" s="1" t="s">
        <v>2092</v>
      </c>
      <c r="B61" t="s">
        <v>72</v>
      </c>
      <c r="D61" t="s">
        <v>502</v>
      </c>
      <c r="E61" s="1" t="s">
        <v>504</v>
      </c>
      <c r="F61" t="s">
        <v>244</v>
      </c>
      <c r="G61">
        <v>2023</v>
      </c>
      <c r="H61" t="s">
        <v>505</v>
      </c>
      <c r="I61" t="s">
        <v>508</v>
      </c>
      <c r="J61" s="1" t="s">
        <v>2101</v>
      </c>
      <c r="K61" s="1" t="s">
        <v>2098</v>
      </c>
      <c r="L61" s="1" t="s">
        <v>2244</v>
      </c>
      <c r="M61" s="1" t="s">
        <v>2404</v>
      </c>
      <c r="O61" s="1" t="s">
        <v>2481</v>
      </c>
      <c r="S61" s="1" t="s">
        <v>2203</v>
      </c>
    </row>
    <row r="62" spans="1:22" x14ac:dyDescent="0.15">
      <c r="A62" s="1" t="s">
        <v>2092</v>
      </c>
      <c r="B62" t="s">
        <v>72</v>
      </c>
      <c r="D62" t="s">
        <v>516</v>
      </c>
      <c r="E62" s="1" t="s">
        <v>518</v>
      </c>
      <c r="F62" t="s">
        <v>244</v>
      </c>
      <c r="G62">
        <v>2023</v>
      </c>
      <c r="H62" s="1" t="s">
        <v>519</v>
      </c>
      <c r="I62" s="1" t="s">
        <v>522</v>
      </c>
      <c r="J62" s="1" t="s">
        <v>2106</v>
      </c>
      <c r="K62" s="1" t="s">
        <v>2245</v>
      </c>
      <c r="L62" s="1" t="s">
        <v>2248</v>
      </c>
      <c r="M62" s="1" t="s">
        <v>2405</v>
      </c>
      <c r="O62" s="1" t="s">
        <v>2482</v>
      </c>
      <c r="S62" s="1" t="s">
        <v>2247</v>
      </c>
      <c r="T62" s="1" t="s">
        <v>2246</v>
      </c>
      <c r="U62" s="1"/>
    </row>
    <row r="63" spans="1:22" x14ac:dyDescent="0.15">
      <c r="A63" s="1" t="s">
        <v>2093</v>
      </c>
      <c r="B63" t="s">
        <v>72</v>
      </c>
      <c r="D63" t="s">
        <v>1158</v>
      </c>
      <c r="E63" s="1" t="s">
        <v>1160</v>
      </c>
      <c r="F63" t="s">
        <v>287</v>
      </c>
      <c r="G63">
        <v>2023</v>
      </c>
      <c r="H63" t="s">
        <v>1161</v>
      </c>
      <c r="I63" t="s">
        <v>1162</v>
      </c>
      <c r="J63" s="1" t="s">
        <v>2106</v>
      </c>
      <c r="K63" s="1" t="s">
        <v>2107</v>
      </c>
      <c r="L63" s="1" t="s">
        <v>2307</v>
      </c>
      <c r="M63" s="1" t="s">
        <v>2406</v>
      </c>
      <c r="N63" s="1" t="s">
        <v>2147</v>
      </c>
      <c r="O63" s="1" t="s">
        <v>2483</v>
      </c>
      <c r="Q63" s="1" t="s">
        <v>2286</v>
      </c>
      <c r="R63" s="1"/>
    </row>
    <row r="64" spans="1:22" x14ac:dyDescent="0.15">
      <c r="A64" s="1" t="s">
        <v>2093</v>
      </c>
      <c r="B64" t="s">
        <v>72</v>
      </c>
      <c r="D64" t="s">
        <v>1202</v>
      </c>
      <c r="E64" s="1" t="s">
        <v>1204</v>
      </c>
      <c r="F64" t="s">
        <v>982</v>
      </c>
      <c r="G64">
        <v>2023</v>
      </c>
      <c r="H64" t="s">
        <v>1205</v>
      </c>
      <c r="I64" s="1" t="s">
        <v>1209</v>
      </c>
      <c r="J64" s="1" t="s">
        <v>2106</v>
      </c>
      <c r="K64" s="1" t="s">
        <v>2309</v>
      </c>
      <c r="L64" s="1" t="s">
        <v>2311</v>
      </c>
      <c r="M64" s="1" t="s">
        <v>2407</v>
      </c>
      <c r="O64" s="1" t="s">
        <v>2484</v>
      </c>
      <c r="Q64" s="1" t="s">
        <v>2310</v>
      </c>
      <c r="R64" s="1"/>
    </row>
    <row r="65" spans="1:22" x14ac:dyDescent="0.15">
      <c r="A65" s="1" t="s">
        <v>2092</v>
      </c>
      <c r="B65" t="s">
        <v>72</v>
      </c>
      <c r="D65" t="s">
        <v>284</v>
      </c>
      <c r="E65" s="1" t="s">
        <v>286</v>
      </c>
      <c r="F65" t="s">
        <v>287</v>
      </c>
      <c r="G65">
        <v>2024</v>
      </c>
      <c r="H65" t="s">
        <v>288</v>
      </c>
      <c r="I65" t="s">
        <v>294</v>
      </c>
      <c r="J65" s="1" t="s">
        <v>2106</v>
      </c>
      <c r="K65" s="1" t="s">
        <v>2276</v>
      </c>
      <c r="M65" s="1" t="s">
        <v>2408</v>
      </c>
      <c r="O65" s="1" t="s">
        <v>2143</v>
      </c>
      <c r="S65" s="1" t="s">
        <v>2202</v>
      </c>
      <c r="U65">
        <v>6.8</v>
      </c>
      <c r="V65" s="1" t="s">
        <v>2371</v>
      </c>
    </row>
    <row r="66" spans="1:22" x14ac:dyDescent="0.15">
      <c r="A66" s="1" t="s">
        <v>2092</v>
      </c>
      <c r="B66" t="s">
        <v>72</v>
      </c>
      <c r="D66" t="s">
        <v>315</v>
      </c>
      <c r="E66" s="1" t="s">
        <v>317</v>
      </c>
      <c r="F66" t="s">
        <v>158</v>
      </c>
      <c r="G66">
        <v>2024</v>
      </c>
      <c r="H66" t="s">
        <v>318</v>
      </c>
      <c r="I66" s="1" t="s">
        <v>322</v>
      </c>
      <c r="J66" s="1" t="s">
        <v>2106</v>
      </c>
      <c r="K66" s="1" t="s">
        <v>2245</v>
      </c>
      <c r="L66" s="1" t="s">
        <v>2244</v>
      </c>
      <c r="M66" s="1" t="s">
        <v>2410</v>
      </c>
      <c r="O66" s="1" t="s">
        <v>2485</v>
      </c>
      <c r="Q66" s="1" t="s">
        <v>2250</v>
      </c>
      <c r="R66" s="1"/>
      <c r="S66" s="1" t="s">
        <v>2249</v>
      </c>
    </row>
    <row r="67" spans="1:22" x14ac:dyDescent="0.15">
      <c r="A67" s="1" t="s">
        <v>2092</v>
      </c>
      <c r="B67" t="s">
        <v>72</v>
      </c>
      <c r="C67" s="1" t="s">
        <v>2155</v>
      </c>
      <c r="D67" s="1" t="s">
        <v>324</v>
      </c>
      <c r="E67" s="1" t="s">
        <v>326</v>
      </c>
      <c r="F67" t="s">
        <v>122</v>
      </c>
      <c r="G67">
        <v>2024</v>
      </c>
      <c r="H67" t="s">
        <v>327</v>
      </c>
      <c r="I67" t="s">
        <v>330</v>
      </c>
      <c r="J67" s="1" t="s">
        <v>2106</v>
      </c>
      <c r="K67" s="1" t="s">
        <v>2128</v>
      </c>
      <c r="L67" s="1" t="s">
        <v>2251</v>
      </c>
      <c r="M67" s="1" t="s">
        <v>2409</v>
      </c>
      <c r="N67" s="1" t="s">
        <v>2104</v>
      </c>
      <c r="O67" s="1" t="s">
        <v>2486</v>
      </c>
      <c r="U67">
        <v>42.8</v>
      </c>
      <c r="V67" s="1" t="s">
        <v>2370</v>
      </c>
    </row>
    <row r="68" spans="1:22" x14ac:dyDescent="0.15">
      <c r="A68" s="1" t="s">
        <v>2092</v>
      </c>
      <c r="B68" t="s">
        <v>72</v>
      </c>
      <c r="D68" t="s">
        <v>342</v>
      </c>
      <c r="E68" s="1" t="s">
        <v>344</v>
      </c>
      <c r="F68" t="s">
        <v>345</v>
      </c>
      <c r="G68">
        <v>2024</v>
      </c>
      <c r="H68" s="1" t="s">
        <v>346</v>
      </c>
      <c r="I68" t="s">
        <v>351</v>
      </c>
      <c r="J68" s="1" t="s">
        <v>2106</v>
      </c>
      <c r="K68" s="1" t="s">
        <v>2098</v>
      </c>
      <c r="L68" s="1" t="s">
        <v>2255</v>
      </c>
      <c r="M68" s="1" t="s">
        <v>2411</v>
      </c>
      <c r="N68" s="1" t="s">
        <v>2253</v>
      </c>
      <c r="O68" s="1" t="s">
        <v>2487</v>
      </c>
      <c r="Q68" s="1" t="s">
        <v>2252</v>
      </c>
      <c r="R68" s="1"/>
      <c r="T68" s="1" t="s">
        <v>2254</v>
      </c>
      <c r="U68" s="1"/>
    </row>
    <row r="69" spans="1:22" x14ac:dyDescent="0.15">
      <c r="A69" s="1" t="s">
        <v>2092</v>
      </c>
      <c r="B69" t="s">
        <v>72</v>
      </c>
      <c r="C69" s="1" t="s">
        <v>2155</v>
      </c>
      <c r="D69" t="s">
        <v>353</v>
      </c>
      <c r="E69" s="1" t="s">
        <v>355</v>
      </c>
      <c r="F69" t="s">
        <v>232</v>
      </c>
      <c r="G69">
        <v>2024</v>
      </c>
      <c r="H69" t="s">
        <v>356</v>
      </c>
      <c r="I69" s="1" t="s">
        <v>361</v>
      </c>
      <c r="J69" s="1" t="s">
        <v>2106</v>
      </c>
      <c r="K69" s="1" t="s">
        <v>2107</v>
      </c>
      <c r="L69" s="1" t="s">
        <v>2257</v>
      </c>
      <c r="M69" s="1" t="s">
        <v>2412</v>
      </c>
      <c r="N69" s="1" t="s">
        <v>2256</v>
      </c>
      <c r="O69" s="1" t="s">
        <v>2488</v>
      </c>
    </row>
    <row r="70" spans="1:22" x14ac:dyDescent="0.15">
      <c r="A70" s="1" t="s">
        <v>2092</v>
      </c>
      <c r="B70" t="s">
        <v>72</v>
      </c>
      <c r="D70" t="s">
        <v>376</v>
      </c>
      <c r="E70" t="s">
        <v>378</v>
      </c>
      <c r="F70" s="1" t="s">
        <v>244</v>
      </c>
      <c r="G70">
        <v>2024</v>
      </c>
      <c r="H70" t="s">
        <v>379</v>
      </c>
      <c r="I70" t="s">
        <v>382</v>
      </c>
      <c r="J70" s="1" t="s">
        <v>2258</v>
      </c>
      <c r="K70" s="1" t="s">
        <v>2333</v>
      </c>
      <c r="L70" s="1" t="s">
        <v>2259</v>
      </c>
      <c r="M70" s="1" t="s">
        <v>2413</v>
      </c>
      <c r="O70" s="1" t="s">
        <v>2489</v>
      </c>
      <c r="V70" s="1" t="s">
        <v>2129</v>
      </c>
    </row>
    <row r="71" spans="1:22" x14ac:dyDescent="0.15">
      <c r="A71" s="1" t="s">
        <v>2092</v>
      </c>
      <c r="B71" t="s">
        <v>72</v>
      </c>
      <c r="D71" t="s">
        <v>396</v>
      </c>
      <c r="E71" t="s">
        <v>398</v>
      </c>
      <c r="F71" t="s">
        <v>399</v>
      </c>
      <c r="G71">
        <v>2024</v>
      </c>
      <c r="H71" t="s">
        <v>400</v>
      </c>
      <c r="I71" t="s">
        <v>406</v>
      </c>
      <c r="J71" s="1" t="s">
        <v>2260</v>
      </c>
      <c r="K71" s="1" t="s">
        <v>2261</v>
      </c>
      <c r="L71" s="1" t="s">
        <v>2127</v>
      </c>
      <c r="M71" s="1" t="s">
        <v>2414</v>
      </c>
      <c r="N71" s="1" t="s">
        <v>2264</v>
      </c>
      <c r="O71" s="1" t="s">
        <v>2477</v>
      </c>
      <c r="Q71" s="1" t="s">
        <v>2263</v>
      </c>
      <c r="R71" s="1"/>
      <c r="S71" s="1" t="s">
        <v>2262</v>
      </c>
      <c r="T71" s="1" t="s">
        <v>2126</v>
      </c>
      <c r="U71" s="1"/>
    </row>
    <row r="72" spans="1:22" x14ac:dyDescent="0.15">
      <c r="A72" s="1" t="s">
        <v>2092</v>
      </c>
      <c r="B72" t="s">
        <v>72</v>
      </c>
      <c r="D72" t="s">
        <v>414</v>
      </c>
      <c r="E72" t="s">
        <v>416</v>
      </c>
      <c r="F72" t="s">
        <v>244</v>
      </c>
      <c r="G72">
        <v>2024</v>
      </c>
      <c r="H72" t="s">
        <v>417</v>
      </c>
      <c r="I72" t="s">
        <v>420</v>
      </c>
      <c r="J72" s="1" t="s">
        <v>2101</v>
      </c>
      <c r="K72" s="1" t="s">
        <v>2265</v>
      </c>
      <c r="L72" s="1" t="s">
        <v>2267</v>
      </c>
      <c r="M72" s="1" t="s">
        <v>2415</v>
      </c>
      <c r="N72" s="1" t="s">
        <v>2127</v>
      </c>
      <c r="O72" s="1" t="s">
        <v>2490</v>
      </c>
      <c r="Q72" s="1" t="s">
        <v>2173</v>
      </c>
      <c r="R72" s="1"/>
      <c r="S72" s="1" t="s">
        <v>2203</v>
      </c>
      <c r="T72" s="1" t="s">
        <v>2266</v>
      </c>
      <c r="U72" s="1"/>
    </row>
    <row r="73" spans="1:22" x14ac:dyDescent="0.15">
      <c r="A73" s="1" t="s">
        <v>2092</v>
      </c>
      <c r="B73" t="s">
        <v>72</v>
      </c>
      <c r="D73" t="s">
        <v>447</v>
      </c>
      <c r="E73" s="1" t="s">
        <v>449</v>
      </c>
      <c r="F73" t="s">
        <v>450</v>
      </c>
      <c r="G73">
        <v>2024</v>
      </c>
      <c r="H73" t="s">
        <v>451</v>
      </c>
      <c r="I73" t="s">
        <v>456</v>
      </c>
      <c r="J73" s="1" t="s">
        <v>2106</v>
      </c>
      <c r="K73" s="1" t="s">
        <v>2130</v>
      </c>
      <c r="L73" s="1" t="s">
        <v>2132</v>
      </c>
      <c r="M73" s="1" t="s">
        <v>2416</v>
      </c>
      <c r="O73" s="1" t="s">
        <v>2491</v>
      </c>
      <c r="S73" s="1" t="s">
        <v>2203</v>
      </c>
      <c r="T73" s="1" t="s">
        <v>2131</v>
      </c>
      <c r="U73" s="1"/>
    </row>
    <row r="74" spans="1:22" x14ac:dyDescent="0.15">
      <c r="A74" s="1" t="s">
        <v>2093</v>
      </c>
      <c r="B74" t="s">
        <v>72</v>
      </c>
      <c r="D74" t="s">
        <v>1056</v>
      </c>
      <c r="E74" s="1" t="s">
        <v>1058</v>
      </c>
      <c r="F74" t="s">
        <v>1059</v>
      </c>
      <c r="G74">
        <v>2024</v>
      </c>
      <c r="H74" s="1" t="s">
        <v>1060</v>
      </c>
      <c r="I74" t="s">
        <v>1067</v>
      </c>
      <c r="J74" s="1" t="s">
        <v>2101</v>
      </c>
      <c r="K74" s="1" t="s">
        <v>2107</v>
      </c>
      <c r="M74" s="1" t="s">
        <v>2417</v>
      </c>
      <c r="O74" s="1" t="s">
        <v>2492</v>
      </c>
      <c r="S74" s="1" t="s">
        <v>2202</v>
      </c>
    </row>
    <row r="75" spans="1:22" x14ac:dyDescent="0.15">
      <c r="A75" s="1" t="s">
        <v>2093</v>
      </c>
      <c r="B75" t="s">
        <v>72</v>
      </c>
      <c r="C75" s="1" t="s">
        <v>2155</v>
      </c>
      <c r="D75" s="1" t="s">
        <v>1086</v>
      </c>
      <c r="E75" s="1" t="s">
        <v>1088</v>
      </c>
      <c r="F75" t="s">
        <v>1059</v>
      </c>
      <c r="G75">
        <v>2024</v>
      </c>
      <c r="H75" s="1" t="s">
        <v>1089</v>
      </c>
      <c r="I75" t="s">
        <v>1093</v>
      </c>
      <c r="J75" s="1" t="s">
        <v>2312</v>
      </c>
      <c r="K75" s="1" t="s">
        <v>2314</v>
      </c>
      <c r="L75" s="1" t="s">
        <v>2122</v>
      </c>
      <c r="M75" s="1" t="s">
        <v>2122</v>
      </c>
      <c r="N75" s="1" t="s">
        <v>2313</v>
      </c>
      <c r="O75" s="1" t="s">
        <v>2493</v>
      </c>
      <c r="T75" s="1" t="s">
        <v>2315</v>
      </c>
      <c r="U75" s="1"/>
    </row>
    <row r="76" spans="1:22" x14ac:dyDescent="0.15">
      <c r="A76" s="1" t="s">
        <v>2093</v>
      </c>
      <c r="B76" t="s">
        <v>72</v>
      </c>
      <c r="D76" t="s">
        <v>1095</v>
      </c>
      <c r="E76" s="1" t="s">
        <v>1097</v>
      </c>
      <c r="F76" t="s">
        <v>158</v>
      </c>
      <c r="G76">
        <v>2024</v>
      </c>
      <c r="H76" t="s">
        <v>1098</v>
      </c>
      <c r="I76" t="s">
        <v>1101</v>
      </c>
      <c r="J76" s="1" t="s">
        <v>2101</v>
      </c>
      <c r="K76" s="1" t="s">
        <v>2107</v>
      </c>
      <c r="M76" s="1" t="s">
        <v>2418</v>
      </c>
      <c r="O76" s="1" t="s">
        <v>2478</v>
      </c>
      <c r="Q76" s="1" t="s">
        <v>2316</v>
      </c>
      <c r="R76" s="1"/>
    </row>
    <row r="77" spans="1:22" x14ac:dyDescent="0.15">
      <c r="A77" s="1" t="s">
        <v>2093</v>
      </c>
      <c r="B77" t="s">
        <v>72</v>
      </c>
      <c r="D77" t="s">
        <v>1104</v>
      </c>
      <c r="E77" s="1" t="s">
        <v>1106</v>
      </c>
      <c r="F77" t="s">
        <v>1107</v>
      </c>
      <c r="G77">
        <v>2024</v>
      </c>
      <c r="H77" s="1" t="s">
        <v>1108</v>
      </c>
      <c r="I77" s="1" t="s">
        <v>1113</v>
      </c>
      <c r="J77" s="1" t="s">
        <v>2141</v>
      </c>
      <c r="K77" s="1" t="s">
        <v>2585</v>
      </c>
      <c r="M77" s="1" t="s">
        <v>2419</v>
      </c>
      <c r="O77" s="1" t="s">
        <v>2143</v>
      </c>
    </row>
    <row r="78" spans="1:22" x14ac:dyDescent="0.15">
      <c r="A78" s="1" t="s">
        <v>2093</v>
      </c>
      <c r="B78" t="s">
        <v>72</v>
      </c>
      <c r="C78" s="1" t="s">
        <v>2155</v>
      </c>
      <c r="D78" t="s">
        <v>1123</v>
      </c>
      <c r="E78" s="1" t="s">
        <v>1125</v>
      </c>
      <c r="F78" t="s">
        <v>758</v>
      </c>
      <c r="G78">
        <v>2024</v>
      </c>
      <c r="H78" t="s">
        <v>1126</v>
      </c>
      <c r="I78" t="s">
        <v>1130</v>
      </c>
      <c r="J78" s="1" t="s">
        <v>2101</v>
      </c>
      <c r="K78" s="1" t="s">
        <v>2107</v>
      </c>
      <c r="M78" s="1" t="s">
        <v>2420</v>
      </c>
      <c r="O78" s="1" t="s">
        <v>2494</v>
      </c>
      <c r="T78" s="1" t="s">
        <v>2317</v>
      </c>
      <c r="U78" s="1"/>
    </row>
    <row r="79" spans="1:22" x14ac:dyDescent="0.15">
      <c r="A79" s="1" t="s">
        <v>2093</v>
      </c>
      <c r="B79" t="s">
        <v>72</v>
      </c>
      <c r="D79" t="s">
        <v>1132</v>
      </c>
      <c r="E79" s="1" t="s">
        <v>1134</v>
      </c>
      <c r="F79" t="s">
        <v>1135</v>
      </c>
      <c r="G79">
        <v>2024</v>
      </c>
      <c r="H79" t="s">
        <v>1136</v>
      </c>
      <c r="I79" s="1" t="s">
        <v>1140</v>
      </c>
      <c r="J79" s="1" t="s">
        <v>2305</v>
      </c>
      <c r="M79" s="1" t="s">
        <v>2421</v>
      </c>
      <c r="O79" s="1" t="s">
        <v>2495</v>
      </c>
      <c r="V79" s="1"/>
    </row>
    <row r="80" spans="1:22" x14ac:dyDescent="0.15">
      <c r="A80" s="1" t="s">
        <v>2093</v>
      </c>
      <c r="B80" t="s">
        <v>72</v>
      </c>
      <c r="D80" t="s">
        <v>1143</v>
      </c>
      <c r="E80" s="1" t="s">
        <v>1145</v>
      </c>
      <c r="F80" t="s">
        <v>244</v>
      </c>
      <c r="G80">
        <v>2024</v>
      </c>
      <c r="H80" t="s">
        <v>1146</v>
      </c>
      <c r="I80" t="s">
        <v>1149</v>
      </c>
      <c r="J80" s="1" t="s">
        <v>2190</v>
      </c>
      <c r="K80" s="1" t="s">
        <v>2318</v>
      </c>
      <c r="L80" s="1" t="s">
        <v>2115</v>
      </c>
      <c r="M80" s="1" t="s">
        <v>2422</v>
      </c>
      <c r="O80" s="1" t="s">
        <v>2496</v>
      </c>
      <c r="V80" s="1" t="s">
        <v>2114</v>
      </c>
    </row>
    <row r="81" spans="1:22" x14ac:dyDescent="0.15">
      <c r="A81" s="1" t="s">
        <v>2093</v>
      </c>
      <c r="B81" t="s">
        <v>72</v>
      </c>
      <c r="D81" t="s">
        <v>1151</v>
      </c>
      <c r="E81" s="1" t="s">
        <v>1153</v>
      </c>
      <c r="F81" t="s">
        <v>450</v>
      </c>
      <c r="G81">
        <v>2024</v>
      </c>
      <c r="H81" t="s">
        <v>1154</v>
      </c>
      <c r="I81" t="s">
        <v>1156</v>
      </c>
      <c r="J81" s="1" t="s">
        <v>2101</v>
      </c>
      <c r="K81" s="1" t="s">
        <v>2319</v>
      </c>
      <c r="M81" s="1" t="s">
        <v>2423</v>
      </c>
      <c r="O81" s="1" t="s">
        <v>2143</v>
      </c>
    </row>
    <row r="82" spans="1:22" x14ac:dyDescent="0.15">
      <c r="A82" s="1" t="s">
        <v>2092</v>
      </c>
      <c r="B82" t="s">
        <v>72</v>
      </c>
      <c r="D82" t="s">
        <v>110</v>
      </c>
      <c r="E82" s="1" t="s">
        <v>112</v>
      </c>
      <c r="F82" t="s">
        <v>77</v>
      </c>
      <c r="G82">
        <v>2025</v>
      </c>
      <c r="H82" t="s">
        <v>113</v>
      </c>
      <c r="I82" t="s">
        <v>117</v>
      </c>
      <c r="J82" s="1" t="s">
        <v>2229</v>
      </c>
      <c r="K82" s="1" t="s">
        <v>2586</v>
      </c>
      <c r="L82" s="1" t="s">
        <v>2136</v>
      </c>
      <c r="M82" s="1" t="s">
        <v>2424</v>
      </c>
      <c r="O82" s="1" t="s">
        <v>2465</v>
      </c>
      <c r="Q82" s="1" t="s">
        <v>2149</v>
      </c>
      <c r="R82" s="1"/>
      <c r="S82" s="1" t="s">
        <v>2268</v>
      </c>
      <c r="T82" s="1" t="s">
        <v>2135</v>
      </c>
      <c r="U82" s="1"/>
    </row>
    <row r="83" spans="1:22" x14ac:dyDescent="0.15">
      <c r="A83" s="1" t="s">
        <v>2092</v>
      </c>
      <c r="B83" t="s">
        <v>72</v>
      </c>
      <c r="C83" s="1" t="s">
        <v>2155</v>
      </c>
      <c r="D83" t="s">
        <v>119</v>
      </c>
      <c r="E83" t="s">
        <v>121</v>
      </c>
      <c r="F83" t="s">
        <v>122</v>
      </c>
      <c r="G83">
        <v>2025</v>
      </c>
      <c r="H83" t="s">
        <v>123</v>
      </c>
      <c r="I83" s="1" t="s">
        <v>129</v>
      </c>
      <c r="J83" s="1" t="s">
        <v>2269</v>
      </c>
      <c r="K83" s="1" t="s">
        <v>2134</v>
      </c>
      <c r="L83" s="1" t="s">
        <v>2270</v>
      </c>
      <c r="M83" s="1" t="s">
        <v>2270</v>
      </c>
      <c r="N83" s="1" t="s">
        <v>2271</v>
      </c>
      <c r="O83" s="1" t="s">
        <v>2464</v>
      </c>
      <c r="T83" s="1" t="s">
        <v>2272</v>
      </c>
      <c r="U83" s="1"/>
    </row>
    <row r="84" spans="1:22" x14ac:dyDescent="0.15">
      <c r="A84" s="1" t="s">
        <v>2092</v>
      </c>
      <c r="B84" t="s">
        <v>72</v>
      </c>
      <c r="D84" t="s">
        <v>132</v>
      </c>
      <c r="E84" s="1" t="s">
        <v>134</v>
      </c>
      <c r="F84" t="s">
        <v>135</v>
      </c>
      <c r="G84">
        <v>2025</v>
      </c>
      <c r="H84" t="s">
        <v>136</v>
      </c>
      <c r="I84" t="s">
        <v>142</v>
      </c>
      <c r="J84" s="1" t="s">
        <v>2190</v>
      </c>
      <c r="K84" s="1" t="s">
        <v>2273</v>
      </c>
      <c r="M84" s="1" t="s">
        <v>2425</v>
      </c>
      <c r="O84" s="1" t="s">
        <v>2143</v>
      </c>
    </row>
    <row r="85" spans="1:22" x14ac:dyDescent="0.15">
      <c r="A85" s="1" t="s">
        <v>2092</v>
      </c>
      <c r="B85" t="s">
        <v>72</v>
      </c>
      <c r="D85" t="s">
        <v>155</v>
      </c>
      <c r="E85" s="1" t="s">
        <v>157</v>
      </c>
      <c r="F85" t="s">
        <v>158</v>
      </c>
      <c r="G85">
        <v>2025</v>
      </c>
      <c r="H85" t="s">
        <v>159</v>
      </c>
      <c r="I85" t="s">
        <v>165</v>
      </c>
      <c r="J85" s="1" t="s">
        <v>2106</v>
      </c>
      <c r="K85" s="1" t="s">
        <v>2098</v>
      </c>
      <c r="L85" s="1" t="s">
        <v>2274</v>
      </c>
      <c r="M85" s="1" t="s">
        <v>2274</v>
      </c>
      <c r="O85" s="1" t="s">
        <v>2463</v>
      </c>
      <c r="Q85" s="1" t="s">
        <v>2250</v>
      </c>
      <c r="R85" s="1"/>
      <c r="S85" s="1" t="s">
        <v>2203</v>
      </c>
      <c r="T85" s="1" t="s">
        <v>2275</v>
      </c>
      <c r="U85" s="1"/>
    </row>
    <row r="86" spans="1:22" x14ac:dyDescent="0.15">
      <c r="A86" s="1" t="s">
        <v>2092</v>
      </c>
      <c r="B86" t="s">
        <v>72</v>
      </c>
      <c r="D86" t="s">
        <v>168</v>
      </c>
      <c r="E86" s="1" t="s">
        <v>170</v>
      </c>
      <c r="F86" t="s">
        <v>171</v>
      </c>
      <c r="G86">
        <v>2025</v>
      </c>
      <c r="H86" t="s">
        <v>172</v>
      </c>
      <c r="I86" t="s">
        <v>178</v>
      </c>
      <c r="J86" s="1" t="s">
        <v>2101</v>
      </c>
      <c r="K86" s="1" t="s">
        <v>2123</v>
      </c>
      <c r="L86" s="1" t="s">
        <v>2279</v>
      </c>
      <c r="M86" s="1" t="s">
        <v>2279</v>
      </c>
      <c r="N86" s="1" t="s">
        <v>2280</v>
      </c>
      <c r="O86" s="1" t="s">
        <v>2143</v>
      </c>
      <c r="Q86" s="1" t="s">
        <v>2278</v>
      </c>
      <c r="R86" s="1"/>
      <c r="S86" s="1" t="s">
        <v>2203</v>
      </c>
      <c r="T86" s="1" t="s">
        <v>2277</v>
      </c>
      <c r="U86" s="1"/>
    </row>
    <row r="87" spans="1:22" x14ac:dyDescent="0.15">
      <c r="A87" s="1" t="s">
        <v>2092</v>
      </c>
      <c r="B87" t="s">
        <v>72</v>
      </c>
      <c r="D87" t="s">
        <v>181</v>
      </c>
      <c r="E87" s="1" t="s">
        <v>183</v>
      </c>
      <c r="F87" t="s">
        <v>184</v>
      </c>
      <c r="G87">
        <v>2025</v>
      </c>
      <c r="H87" t="s">
        <v>185</v>
      </c>
      <c r="I87" t="s">
        <v>191</v>
      </c>
      <c r="J87" s="1" t="s">
        <v>2106</v>
      </c>
      <c r="K87" s="1" t="s">
        <v>2282</v>
      </c>
      <c r="L87" s="1" t="s">
        <v>2283</v>
      </c>
      <c r="M87" s="1" t="s">
        <v>2283</v>
      </c>
      <c r="N87" s="1" t="s">
        <v>2147</v>
      </c>
      <c r="O87" s="1" t="s">
        <v>2462</v>
      </c>
      <c r="S87" s="1" t="s">
        <v>2202</v>
      </c>
      <c r="T87" s="1" t="s">
        <v>2281</v>
      </c>
      <c r="U87" s="1">
        <v>5.25</v>
      </c>
      <c r="V87" s="1" t="s">
        <v>2368</v>
      </c>
    </row>
    <row r="88" spans="1:22" x14ac:dyDescent="0.15">
      <c r="A88" s="1" t="s">
        <v>2092</v>
      </c>
      <c r="B88" t="s">
        <v>72</v>
      </c>
      <c r="D88" t="s">
        <v>194</v>
      </c>
      <c r="E88" s="1" t="s">
        <v>196</v>
      </c>
      <c r="F88" t="s">
        <v>184</v>
      </c>
      <c r="G88">
        <v>2025</v>
      </c>
      <c r="H88" s="1" t="s">
        <v>197</v>
      </c>
      <c r="I88" t="s">
        <v>200</v>
      </c>
      <c r="J88" s="1" t="s">
        <v>2101</v>
      </c>
      <c r="K88" s="1" t="s">
        <v>2285</v>
      </c>
      <c r="L88" s="1" t="s">
        <v>2188</v>
      </c>
      <c r="M88" s="1" t="s">
        <v>2188</v>
      </c>
      <c r="N88" s="1" t="s">
        <v>2147</v>
      </c>
      <c r="O88" s="1" t="s">
        <v>2461</v>
      </c>
      <c r="Q88" s="1" t="s">
        <v>2286</v>
      </c>
      <c r="R88" s="1"/>
      <c r="S88" s="1" t="s">
        <v>2247</v>
      </c>
      <c r="T88" s="1" t="s">
        <v>2284</v>
      </c>
      <c r="U88" s="1"/>
    </row>
    <row r="89" spans="1:22" x14ac:dyDescent="0.15">
      <c r="A89" s="1" t="s">
        <v>2092</v>
      </c>
      <c r="B89" t="s">
        <v>72</v>
      </c>
      <c r="D89" t="s">
        <v>202</v>
      </c>
      <c r="E89" s="1" t="s">
        <v>204</v>
      </c>
      <c r="F89" t="s">
        <v>171</v>
      </c>
      <c r="G89">
        <v>2025</v>
      </c>
      <c r="H89" s="1" t="s">
        <v>205</v>
      </c>
      <c r="I89" t="s">
        <v>209</v>
      </c>
      <c r="J89" s="1" t="s">
        <v>2142</v>
      </c>
      <c r="K89" s="1" t="s">
        <v>2133</v>
      </c>
      <c r="M89" s="1" t="s">
        <v>2426</v>
      </c>
      <c r="O89" s="1" t="s">
        <v>2143</v>
      </c>
      <c r="V89" s="1" t="s">
        <v>2287</v>
      </c>
    </row>
    <row r="90" spans="1:22" x14ac:dyDescent="0.15">
      <c r="A90" s="1" t="s">
        <v>2092</v>
      </c>
      <c r="B90" t="s">
        <v>72</v>
      </c>
      <c r="D90" t="s">
        <v>211</v>
      </c>
      <c r="E90" s="1" t="s">
        <v>2288</v>
      </c>
      <c r="F90" t="s">
        <v>214</v>
      </c>
      <c r="G90">
        <v>2025</v>
      </c>
      <c r="H90" t="s">
        <v>215</v>
      </c>
      <c r="I90" t="s">
        <v>220</v>
      </c>
      <c r="J90" s="1" t="s">
        <v>2106</v>
      </c>
      <c r="K90" s="1" t="s">
        <v>2582</v>
      </c>
      <c r="M90" s="1" t="s">
        <v>2427</v>
      </c>
      <c r="O90" s="1" t="s">
        <v>2143</v>
      </c>
      <c r="V90" s="1" t="s">
        <v>2287</v>
      </c>
    </row>
    <row r="91" spans="1:22" x14ac:dyDescent="0.15">
      <c r="A91" s="1" t="s">
        <v>2092</v>
      </c>
      <c r="B91" t="s">
        <v>72</v>
      </c>
      <c r="D91" t="s">
        <v>222</v>
      </c>
      <c r="E91" s="1" t="s">
        <v>223</v>
      </c>
      <c r="F91" t="s">
        <v>158</v>
      </c>
      <c r="G91">
        <v>2025</v>
      </c>
      <c r="H91" s="1" t="s">
        <v>224</v>
      </c>
      <c r="I91" t="s">
        <v>226</v>
      </c>
      <c r="J91" s="1" t="s">
        <v>2587</v>
      </c>
      <c r="K91" s="1" t="s">
        <v>2587</v>
      </c>
      <c r="M91" s="1" t="s">
        <v>2428</v>
      </c>
      <c r="O91" s="1" t="s">
        <v>2143</v>
      </c>
      <c r="V91" s="1" t="s">
        <v>2287</v>
      </c>
    </row>
    <row r="92" spans="1:22" x14ac:dyDescent="0.15">
      <c r="A92" s="1" t="s">
        <v>2092</v>
      </c>
      <c r="B92" t="s">
        <v>72</v>
      </c>
      <c r="D92" t="s">
        <v>229</v>
      </c>
      <c r="E92" s="1" t="s">
        <v>231</v>
      </c>
      <c r="F92" t="s">
        <v>232</v>
      </c>
      <c r="G92">
        <v>2025</v>
      </c>
      <c r="H92" t="s">
        <v>233</v>
      </c>
      <c r="I92" t="s">
        <v>239</v>
      </c>
      <c r="J92" s="1" t="s">
        <v>2106</v>
      </c>
      <c r="K92" s="1" t="s">
        <v>2290</v>
      </c>
      <c r="L92" s="1" t="s">
        <v>2292</v>
      </c>
      <c r="M92" s="1" t="s">
        <v>2292</v>
      </c>
      <c r="N92" s="1" t="s">
        <v>2291</v>
      </c>
      <c r="O92" s="1" t="s">
        <v>2460</v>
      </c>
      <c r="Q92" s="1" t="s">
        <v>2289</v>
      </c>
      <c r="R92" s="1"/>
      <c r="S92" s="1" t="s">
        <v>2293</v>
      </c>
      <c r="U92">
        <v>18.73</v>
      </c>
      <c r="V92" s="1" t="s">
        <v>2369</v>
      </c>
    </row>
    <row r="93" spans="1:22" x14ac:dyDescent="0.15">
      <c r="A93" s="1" t="s">
        <v>2092</v>
      </c>
      <c r="B93" t="s">
        <v>72</v>
      </c>
      <c r="D93" t="s">
        <v>241</v>
      </c>
      <c r="E93" s="1" t="s">
        <v>243</v>
      </c>
      <c r="F93" t="s">
        <v>244</v>
      </c>
      <c r="G93">
        <v>2025</v>
      </c>
      <c r="H93" t="s">
        <v>245</v>
      </c>
      <c r="I93" t="s">
        <v>250</v>
      </c>
      <c r="J93" s="1" t="s">
        <v>2101</v>
      </c>
      <c r="K93" s="1" t="s">
        <v>2107</v>
      </c>
      <c r="L93" s="1" t="s">
        <v>2294</v>
      </c>
      <c r="M93" s="1" t="s">
        <v>2294</v>
      </c>
      <c r="N93" s="1" t="s">
        <v>2147</v>
      </c>
      <c r="O93" s="1" t="s">
        <v>2459</v>
      </c>
      <c r="Q93" s="1" t="s">
        <v>2286</v>
      </c>
      <c r="R93" s="1"/>
    </row>
    <row r="94" spans="1:22" x14ac:dyDescent="0.15">
      <c r="A94" s="1" t="s">
        <v>2092</v>
      </c>
      <c r="B94" t="s">
        <v>72</v>
      </c>
      <c r="D94" t="s">
        <v>269</v>
      </c>
      <c r="E94" s="1" t="s">
        <v>271</v>
      </c>
      <c r="F94" t="s">
        <v>244</v>
      </c>
      <c r="G94">
        <v>2025</v>
      </c>
      <c r="H94" t="s">
        <v>272</v>
      </c>
      <c r="I94" t="s">
        <v>275</v>
      </c>
      <c r="K94" s="1" t="s">
        <v>2295</v>
      </c>
      <c r="O94" s="1" t="s">
        <v>2143</v>
      </c>
      <c r="Q94" s="1" t="s">
        <v>2296</v>
      </c>
      <c r="R94" s="1"/>
    </row>
    <row r="95" spans="1:22" x14ac:dyDescent="0.15">
      <c r="A95" s="1" t="s">
        <v>2092</v>
      </c>
      <c r="B95" t="s">
        <v>72</v>
      </c>
      <c r="D95" t="s">
        <v>303</v>
      </c>
      <c r="E95" s="1" t="s">
        <v>305</v>
      </c>
      <c r="F95" t="s">
        <v>306</v>
      </c>
      <c r="G95">
        <v>2025</v>
      </c>
      <c r="H95" t="s">
        <v>307</v>
      </c>
      <c r="I95" t="s">
        <v>312</v>
      </c>
      <c r="J95" s="1" t="s">
        <v>2106</v>
      </c>
      <c r="K95" s="1" t="s">
        <v>2297</v>
      </c>
      <c r="L95" s="1" t="s">
        <v>2298</v>
      </c>
      <c r="M95" s="1" t="s">
        <v>2298</v>
      </c>
      <c r="O95" s="1" t="s">
        <v>2143</v>
      </c>
      <c r="Q95" s="1" t="s">
        <v>2299</v>
      </c>
      <c r="R95" s="1"/>
      <c r="S95" s="1" t="s">
        <v>2203</v>
      </c>
      <c r="T95" s="1" t="s">
        <v>2116</v>
      </c>
      <c r="U95" s="1"/>
    </row>
    <row r="96" spans="1:22" x14ac:dyDescent="0.15">
      <c r="A96" s="1" t="s">
        <v>2093</v>
      </c>
      <c r="B96" t="s">
        <v>72</v>
      </c>
      <c r="D96" t="s">
        <v>952</v>
      </c>
      <c r="E96" s="1" t="s">
        <v>954</v>
      </c>
      <c r="F96" t="s">
        <v>287</v>
      </c>
      <c r="G96">
        <v>2025</v>
      </c>
      <c r="H96" t="s">
        <v>955</v>
      </c>
      <c r="I96" t="s">
        <v>956</v>
      </c>
      <c r="J96" s="1" t="s">
        <v>2106</v>
      </c>
      <c r="K96" s="1" t="s">
        <v>2137</v>
      </c>
      <c r="L96" s="1" t="s">
        <v>2139</v>
      </c>
      <c r="M96" s="1" t="s">
        <v>2139</v>
      </c>
      <c r="N96" s="1" t="s">
        <v>2320</v>
      </c>
      <c r="O96" s="1" t="s">
        <v>2458</v>
      </c>
      <c r="T96" s="1" t="s">
        <v>2138</v>
      </c>
      <c r="U96" s="1"/>
    </row>
    <row r="97" spans="1:22" x14ac:dyDescent="0.15">
      <c r="A97" s="1" t="s">
        <v>2093</v>
      </c>
      <c r="B97" t="s">
        <v>72</v>
      </c>
      <c r="D97" t="s">
        <v>998</v>
      </c>
      <c r="E97" s="1" t="s">
        <v>1000</v>
      </c>
      <c r="F97" t="s">
        <v>77</v>
      </c>
      <c r="G97">
        <v>2025</v>
      </c>
      <c r="H97" s="1" t="s">
        <v>1001</v>
      </c>
      <c r="I97" t="s">
        <v>1005</v>
      </c>
      <c r="J97" s="1" t="s">
        <v>2142</v>
      </c>
      <c r="K97" s="1" t="s">
        <v>2308</v>
      </c>
      <c r="L97" s="1" t="s">
        <v>2322</v>
      </c>
      <c r="M97" s="1" t="s">
        <v>2322</v>
      </c>
      <c r="O97" s="1" t="s">
        <v>2457</v>
      </c>
      <c r="S97" s="1" t="s">
        <v>2321</v>
      </c>
    </row>
    <row r="98" spans="1:22" x14ac:dyDescent="0.15">
      <c r="A98" s="1" t="s">
        <v>2093</v>
      </c>
      <c r="B98" t="s">
        <v>72</v>
      </c>
      <c r="D98" t="s">
        <v>1007</v>
      </c>
      <c r="E98" s="1" t="s">
        <v>1009</v>
      </c>
      <c r="F98" t="s">
        <v>399</v>
      </c>
      <c r="G98">
        <v>2025</v>
      </c>
      <c r="H98" t="s">
        <v>1010</v>
      </c>
      <c r="I98" s="1" t="s">
        <v>1011</v>
      </c>
      <c r="J98" s="1" t="s">
        <v>2325</v>
      </c>
      <c r="K98" s="1" t="s">
        <v>2326</v>
      </c>
      <c r="L98" s="1" t="s">
        <v>2327</v>
      </c>
      <c r="M98" s="1" t="s">
        <v>2327</v>
      </c>
      <c r="N98" s="1" t="s">
        <v>2323</v>
      </c>
      <c r="O98" s="1" t="s">
        <v>2456</v>
      </c>
      <c r="Q98" s="1" t="s">
        <v>2324</v>
      </c>
      <c r="R98" s="1"/>
    </row>
    <row r="99" spans="1:22" x14ac:dyDescent="0.15">
      <c r="A99" s="1" t="s">
        <v>2093</v>
      </c>
      <c r="B99" t="s">
        <v>72</v>
      </c>
      <c r="D99" t="s">
        <v>168</v>
      </c>
      <c r="E99" s="1" t="s">
        <v>170</v>
      </c>
      <c r="F99" t="s">
        <v>171</v>
      </c>
      <c r="G99">
        <v>2025</v>
      </c>
      <c r="H99" s="1" t="s">
        <v>2328</v>
      </c>
      <c r="I99" t="s">
        <v>178</v>
      </c>
      <c r="J99" s="1" t="s">
        <v>2101</v>
      </c>
      <c r="K99" s="1" t="s">
        <v>2123</v>
      </c>
      <c r="M99" t="s">
        <v>2343</v>
      </c>
      <c r="O99" s="1" t="s">
        <v>2143</v>
      </c>
      <c r="Q99" s="1" t="s">
        <v>2329</v>
      </c>
      <c r="R99" s="1"/>
    </row>
    <row r="100" spans="1:22" x14ac:dyDescent="0.15">
      <c r="A100" s="1" t="s">
        <v>2093</v>
      </c>
      <c r="B100" t="s">
        <v>72</v>
      </c>
      <c r="D100" t="s">
        <v>1022</v>
      </c>
      <c r="E100" s="1" t="s">
        <v>1024</v>
      </c>
      <c r="F100" t="s">
        <v>122</v>
      </c>
      <c r="G100">
        <v>2025</v>
      </c>
      <c r="H100" s="1" t="s">
        <v>1025</v>
      </c>
      <c r="I100" t="s">
        <v>1027</v>
      </c>
      <c r="J100" s="1" t="s">
        <v>2142</v>
      </c>
      <c r="K100" s="1" t="s">
        <v>2330</v>
      </c>
      <c r="L100" s="1" t="s">
        <v>2108</v>
      </c>
      <c r="M100" s="1" t="s">
        <v>2108</v>
      </c>
      <c r="O100" s="1" t="s">
        <v>2455</v>
      </c>
      <c r="P100" s="1" t="s">
        <v>2363</v>
      </c>
    </row>
    <row r="101" spans="1:22" x14ac:dyDescent="0.15">
      <c r="A101" s="1" t="s">
        <v>2093</v>
      </c>
      <c r="B101" t="s">
        <v>72</v>
      </c>
      <c r="D101" t="s">
        <v>1035</v>
      </c>
      <c r="E101" s="1" t="s">
        <v>1037</v>
      </c>
      <c r="F101" t="s">
        <v>96</v>
      </c>
      <c r="G101">
        <v>2025</v>
      </c>
      <c r="H101" t="s">
        <v>1038</v>
      </c>
      <c r="I101" t="s">
        <v>1040</v>
      </c>
      <c r="J101" s="1" t="s">
        <v>2101</v>
      </c>
      <c r="K101" s="1" t="s">
        <v>2219</v>
      </c>
      <c r="M101" s="1" t="s">
        <v>2429</v>
      </c>
      <c r="O101" s="1" t="s">
        <v>2454</v>
      </c>
    </row>
    <row r="102" spans="1:22" x14ac:dyDescent="0.15">
      <c r="A102" s="1" t="s">
        <v>2093</v>
      </c>
      <c r="B102" t="s">
        <v>72</v>
      </c>
      <c r="D102" t="s">
        <v>1042</v>
      </c>
      <c r="E102" s="1" t="s">
        <v>1044</v>
      </c>
      <c r="F102" t="s">
        <v>96</v>
      </c>
      <c r="G102">
        <v>2025</v>
      </c>
      <c r="H102" t="s">
        <v>1045</v>
      </c>
      <c r="I102" t="s">
        <v>1048</v>
      </c>
      <c r="J102" s="1" t="s">
        <v>2106</v>
      </c>
      <c r="K102" s="1" t="s">
        <v>2331</v>
      </c>
      <c r="L102" s="1" t="s">
        <v>2188</v>
      </c>
      <c r="M102" s="1" t="s">
        <v>2430</v>
      </c>
      <c r="O102" s="1" t="s">
        <v>2453</v>
      </c>
      <c r="S102" s="1" t="s">
        <v>2202</v>
      </c>
    </row>
    <row r="103" spans="1:22" x14ac:dyDescent="0.15">
      <c r="A103" s="1" t="s">
        <v>2092</v>
      </c>
      <c r="B103" t="s">
        <v>72</v>
      </c>
      <c r="D103" t="s">
        <v>73</v>
      </c>
      <c r="E103" s="1" t="s">
        <v>76</v>
      </c>
      <c r="F103" t="s">
        <v>77</v>
      </c>
      <c r="G103">
        <v>2026</v>
      </c>
      <c r="H103" s="1" t="s">
        <v>78</v>
      </c>
      <c r="I103" t="s">
        <v>81</v>
      </c>
      <c r="J103" s="1" t="s">
        <v>2106</v>
      </c>
      <c r="K103" s="1" t="s">
        <v>2300</v>
      </c>
      <c r="L103" s="1" t="s">
        <v>2188</v>
      </c>
      <c r="M103" s="1" t="s">
        <v>2431</v>
      </c>
      <c r="O103" s="1" t="s">
        <v>2452</v>
      </c>
      <c r="Q103" s="1" t="s">
        <v>2302</v>
      </c>
      <c r="R103" s="1"/>
      <c r="T103" s="1" t="s">
        <v>2301</v>
      </c>
      <c r="U103" s="1"/>
    </row>
    <row r="104" spans="1:22" x14ac:dyDescent="0.15">
      <c r="A104" s="1" t="s">
        <v>2092</v>
      </c>
      <c r="B104" t="s">
        <v>72</v>
      </c>
      <c r="D104" t="s">
        <v>93</v>
      </c>
      <c r="E104" s="1" t="s">
        <v>95</v>
      </c>
      <c r="F104" t="s">
        <v>96</v>
      </c>
      <c r="G104">
        <v>2026</v>
      </c>
      <c r="H104" t="s">
        <v>97</v>
      </c>
      <c r="I104" s="1" t="s">
        <v>101</v>
      </c>
      <c r="J104" s="1" t="s">
        <v>2106</v>
      </c>
      <c r="K104" s="1" t="s">
        <v>2584</v>
      </c>
      <c r="M104" s="1" t="s">
        <v>2432</v>
      </c>
      <c r="O104" s="1" t="s">
        <v>2451</v>
      </c>
      <c r="Q104" s="1" t="s">
        <v>2304</v>
      </c>
      <c r="R104" s="1"/>
      <c r="S104" s="1" t="s">
        <v>2303</v>
      </c>
    </row>
    <row r="105" spans="1:22" x14ac:dyDescent="0.15">
      <c r="A105" s="1" t="s">
        <v>2092</v>
      </c>
      <c r="B105" t="s">
        <v>72</v>
      </c>
      <c r="D105" t="s">
        <v>103</v>
      </c>
      <c r="E105" s="1" t="s">
        <v>105</v>
      </c>
      <c r="F105" t="s">
        <v>96</v>
      </c>
      <c r="G105">
        <v>2026</v>
      </c>
      <c r="H105" t="s">
        <v>106</v>
      </c>
      <c r="I105" t="s">
        <v>108</v>
      </c>
      <c r="J105" s="1" t="s">
        <v>2601</v>
      </c>
      <c r="M105" s="1" t="s">
        <v>2433</v>
      </c>
      <c r="O105" s="1" t="s">
        <v>2450</v>
      </c>
    </row>
    <row r="106" spans="1:22" x14ac:dyDescent="0.15">
      <c r="A106" s="1" t="s">
        <v>2093</v>
      </c>
      <c r="B106" t="s">
        <v>72</v>
      </c>
      <c r="D106" t="s">
        <v>939</v>
      </c>
      <c r="E106" s="1" t="s">
        <v>941</v>
      </c>
      <c r="F106" t="s">
        <v>184</v>
      </c>
      <c r="G106">
        <v>2026</v>
      </c>
      <c r="H106" t="s">
        <v>942</v>
      </c>
      <c r="I106" t="s">
        <v>943</v>
      </c>
      <c r="J106" s="1" t="s">
        <v>2101</v>
      </c>
      <c r="K106" s="1" t="s">
        <v>2107</v>
      </c>
      <c r="M106" s="1" t="s">
        <v>2434</v>
      </c>
      <c r="O106" s="1" t="s">
        <v>2449</v>
      </c>
    </row>
    <row r="107" spans="1:22" x14ac:dyDescent="0.15">
      <c r="A107" s="1" t="s">
        <v>2093</v>
      </c>
      <c r="B107" t="s">
        <v>72</v>
      </c>
      <c r="C107" s="1" t="s">
        <v>2215</v>
      </c>
      <c r="D107" t="s">
        <v>946</v>
      </c>
      <c r="E107" s="1" t="s">
        <v>948</v>
      </c>
      <c r="F107" t="s">
        <v>96</v>
      </c>
      <c r="G107">
        <v>2026</v>
      </c>
      <c r="H107" t="s">
        <v>949</v>
      </c>
      <c r="I107" t="s">
        <v>950</v>
      </c>
      <c r="J107" s="1" t="s">
        <v>2600</v>
      </c>
      <c r="K107" s="1" t="s">
        <v>2098</v>
      </c>
      <c r="M107" s="1" t="s">
        <v>2435</v>
      </c>
      <c r="N107" s="1" t="s">
        <v>2213</v>
      </c>
      <c r="O107" s="1" t="s">
        <v>2448</v>
      </c>
      <c r="Q107" s="1" t="s">
        <v>2212</v>
      </c>
      <c r="R107" s="1"/>
      <c r="S107" s="1" t="s">
        <v>2211</v>
      </c>
      <c r="V107" s="1" t="s">
        <v>2214</v>
      </c>
    </row>
    <row r="108" spans="1:22" x14ac:dyDescent="0.15">
      <c r="A108" s="1" t="s">
        <v>2093</v>
      </c>
      <c r="B108" t="s">
        <v>72</v>
      </c>
      <c r="C108" s="1" t="s">
        <v>2155</v>
      </c>
      <c r="D108" t="s">
        <v>979</v>
      </c>
      <c r="E108" s="1" t="s">
        <v>981</v>
      </c>
      <c r="F108" t="s">
        <v>982</v>
      </c>
      <c r="G108">
        <v>2026</v>
      </c>
      <c r="H108" s="1" t="s">
        <v>983</v>
      </c>
      <c r="I108" s="1" t="s">
        <v>987</v>
      </c>
      <c r="J108" s="1" t="s">
        <v>2106</v>
      </c>
      <c r="K108" s="1" t="s">
        <v>2103</v>
      </c>
      <c r="L108" s="1" t="s">
        <v>2207</v>
      </c>
      <c r="M108" s="1" t="s">
        <v>2207</v>
      </c>
      <c r="N108" s="1" t="s">
        <v>2208</v>
      </c>
      <c r="O108" s="1" t="s">
        <v>2447</v>
      </c>
      <c r="P108" s="1" t="s">
        <v>2364</v>
      </c>
      <c r="Q108" s="1" t="s">
        <v>2209</v>
      </c>
      <c r="R108" s="1"/>
      <c r="S108" s="1" t="s">
        <v>2210</v>
      </c>
      <c r="T108" s="1" t="s">
        <v>2206</v>
      </c>
      <c r="U108" s="1"/>
    </row>
    <row r="109" spans="1:22" x14ac:dyDescent="0.15">
      <c r="A109" s="1"/>
      <c r="B109" s="1"/>
      <c r="C109" s="1"/>
      <c r="D109" s="1"/>
      <c r="E109" s="1"/>
      <c r="H109" s="1"/>
      <c r="J109" s="1"/>
    </row>
    <row r="113" spans="1:1" x14ac:dyDescent="0.15">
      <c r="A113" s="1" t="s">
        <v>2359</v>
      </c>
    </row>
    <row r="114" spans="1:1" x14ac:dyDescent="0.15">
      <c r="A114" s="1" t="s">
        <v>2360</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0F082-430D-3F44-9F23-900DE43803B2}">
  <dimension ref="A1:B9"/>
  <sheetViews>
    <sheetView workbookViewId="0">
      <selection activeCell="B5" sqref="B5"/>
    </sheetView>
  </sheetViews>
  <sheetFormatPr baseColWidth="10" defaultRowHeight="13" x14ac:dyDescent="0.15"/>
  <sheetData>
    <row r="1" spans="1:2" x14ac:dyDescent="0.15">
      <c r="A1" s="1" t="s">
        <v>2574</v>
      </c>
      <c r="B1" s="1" t="s">
        <v>2575</v>
      </c>
    </row>
    <row r="2" spans="1:2" x14ac:dyDescent="0.15">
      <c r="A2" s="1" t="s">
        <v>2567</v>
      </c>
      <c r="B2">
        <f>COUNTIFS(merged_clean!G:G, "&gt;=1990", merged_clean!G:G, "&lt;=1995")</f>
        <v>2</v>
      </c>
    </row>
    <row r="3" spans="1:2" x14ac:dyDescent="0.15">
      <c r="A3" s="1" t="s">
        <v>2568</v>
      </c>
      <c r="B3">
        <f>COUNTIFS(merged_clean!G:G, "&gt;=1996", merged_clean!G:G, "&lt;=2000")</f>
        <v>0</v>
      </c>
    </row>
    <row r="4" spans="1:2" x14ac:dyDescent="0.15">
      <c r="A4" s="1" t="s">
        <v>2569</v>
      </c>
      <c r="B4">
        <f>COUNTIFS(merged_clean!G:G, "&gt;=2001", merged_clean!G:G, "&lt;=2005")</f>
        <v>3</v>
      </c>
    </row>
    <row r="5" spans="1:2" x14ac:dyDescent="0.15">
      <c r="A5" s="1" t="s">
        <v>2570</v>
      </c>
      <c r="B5">
        <f>COUNTIFS(merged_clean!G:G, "&gt;=2006", merged_clean!G:G, "&lt;=2010")</f>
        <v>4</v>
      </c>
    </row>
    <row r="6" spans="1:2" x14ac:dyDescent="0.15">
      <c r="A6" s="1" t="s">
        <v>2571</v>
      </c>
      <c r="B6">
        <f>COUNTIFS(merged_clean!G:G, "&gt;=2011", merged_clean!G:G, "&lt;=2015")</f>
        <v>7</v>
      </c>
    </row>
    <row r="7" spans="1:2" x14ac:dyDescent="0.15">
      <c r="A7" s="1" t="s">
        <v>2572</v>
      </c>
      <c r="B7">
        <f>COUNTIFS(merged_clean!G:G, "&gt;=2016", merged_clean!G:G, "&lt;=2020")</f>
        <v>17</v>
      </c>
    </row>
    <row r="8" spans="1:2" x14ac:dyDescent="0.15">
      <c r="A8" s="1" t="s">
        <v>2573</v>
      </c>
      <c r="B8">
        <f>COUNTIFS(merged_clean!G:G, "&gt;=2021", merged_clean!G:G, "&lt;=2025")</f>
        <v>68</v>
      </c>
    </row>
    <row r="9" spans="1:2" x14ac:dyDescent="0.15">
      <c r="A9">
        <v>2026</v>
      </c>
      <c r="B9">
        <f>COUNTIFS(merged_clean!G:G, "&gt;=2026", merged_clean!G:G, "&lt;=2027")</f>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9863B-BF82-DA4F-B7E7-F57D3F470A64}">
  <dimension ref="A1:C21"/>
  <sheetViews>
    <sheetView tabSelected="1" workbookViewId="0">
      <selection activeCell="C18" sqref="C18"/>
    </sheetView>
  </sheetViews>
  <sheetFormatPr baseColWidth="10" defaultRowHeight="13" x14ac:dyDescent="0.15"/>
  <cols>
    <col min="1" max="1" width="36" customWidth="1"/>
  </cols>
  <sheetData>
    <row r="1" spans="1:3" x14ac:dyDescent="0.15">
      <c r="A1" s="3" t="s">
        <v>2094</v>
      </c>
      <c r="B1" s="3" t="s">
        <v>2581</v>
      </c>
      <c r="C1" s="3" t="s">
        <v>2592</v>
      </c>
    </row>
    <row r="2" spans="1:3" x14ac:dyDescent="0.15">
      <c r="A2" s="1" t="s">
        <v>2103</v>
      </c>
      <c r="B2" cm="1">
        <f t="array" ref="B2">SUM(COUNTIF(merged_clean!K:K, {"*RF*","*Random Forest*","*Randomized Trees*"}))</f>
        <v>44</v>
      </c>
      <c r="C2">
        <f>ROUND(B2/B$10,2)*100</f>
        <v>31</v>
      </c>
    </row>
    <row r="3" spans="1:3" x14ac:dyDescent="0.15">
      <c r="A3" s="1" t="s">
        <v>2594</v>
      </c>
      <c r="B3" cm="1">
        <f t="array" ref="B3">SUM(COUNTIF(merged_clean!K:K,{"*ANN*","*feed*"}))</f>
        <v>25</v>
      </c>
      <c r="C3">
        <f t="shared" ref="C3:C9" si="0">ROUND(B3/B$10,2)*100</f>
        <v>17</v>
      </c>
    </row>
    <row r="4" spans="1:3" x14ac:dyDescent="0.15">
      <c r="A4" s="1" t="s">
        <v>2576</v>
      </c>
      <c r="B4" cm="1">
        <f t="array" ref="B4">SUM(COUNTIF(merged_clean!K:K, {"*Gradient Boost*","*XGBoost*","*CatBoost*","*LightGBM*","*Adaboost*"}))</f>
        <v>20</v>
      </c>
      <c r="C4">
        <f t="shared" si="0"/>
        <v>14.000000000000002</v>
      </c>
    </row>
    <row r="5" spans="1:3" x14ac:dyDescent="0.15">
      <c r="A5" s="1" t="s">
        <v>2577</v>
      </c>
      <c r="B5" cm="1">
        <f t="array" ref="B5">SUM(COUNTIF(merged_clean!K:K, {"*Gradient Boost*","*XGBoost*","*CatBoost*","*LightGBM*","*Adaboost*"}))</f>
        <v>20</v>
      </c>
      <c r="C5">
        <f t="shared" si="0"/>
        <v>14.000000000000002</v>
      </c>
    </row>
    <row r="6" spans="1:3" x14ac:dyDescent="0.15">
      <c r="A6" s="1" t="s">
        <v>2100</v>
      </c>
      <c r="B6" cm="1">
        <f t="array" ref="B6">SUM(COUNTIF(merged_clean!K:K,{"*SVM*","*SVR*","*Support Vector*"}))</f>
        <v>17</v>
      </c>
      <c r="C6">
        <f t="shared" si="0"/>
        <v>12</v>
      </c>
    </row>
    <row r="7" spans="1:3" x14ac:dyDescent="0.15">
      <c r="A7" s="1" t="s">
        <v>2578</v>
      </c>
      <c r="B7" cm="1">
        <f t="array" ref="B7">SUM(COUNTIF(merged_clean!K:K, {"*RNN*","*LSTM*"}))</f>
        <v>8</v>
      </c>
      <c r="C7">
        <f t="shared" si="0"/>
        <v>6</v>
      </c>
    </row>
    <row r="8" spans="1:3" x14ac:dyDescent="0.15">
      <c r="A8" s="1" t="s">
        <v>2579</v>
      </c>
      <c r="B8" cm="1">
        <f t="array" ref="B8">SUM(COUNTIF(merged_clean!K:K, {"*Kmeans*","*k-means*","*PCA*","*unsupervised*","*clustering*"}))</f>
        <v>8</v>
      </c>
      <c r="C8">
        <f t="shared" si="0"/>
        <v>6</v>
      </c>
    </row>
    <row r="9" spans="1:3" x14ac:dyDescent="0.15">
      <c r="A9" s="1" t="s">
        <v>2580</v>
      </c>
      <c r="B9" cm="1">
        <f t="array" ref="B9">SUM(COUNTIF(merged_clean!K:K, {"*Transformer*","*SWEFormer*"}))</f>
        <v>2</v>
      </c>
      <c r="C9">
        <f t="shared" si="0"/>
        <v>1</v>
      </c>
    </row>
    <row r="10" spans="1:3" x14ac:dyDescent="0.15">
      <c r="A10" s="3" t="s">
        <v>2593</v>
      </c>
      <c r="B10">
        <f>SUM(B2:B9)</f>
        <v>144</v>
      </c>
    </row>
    <row r="12" spans="1:3" x14ac:dyDescent="0.15">
      <c r="A12" s="3" t="s">
        <v>2588</v>
      </c>
      <c r="B12" s="3" t="s">
        <v>2581</v>
      </c>
    </row>
    <row r="13" spans="1:3" x14ac:dyDescent="0.15">
      <c r="A13" s="1" t="s">
        <v>2589</v>
      </c>
      <c r="B13">
        <f>COUNTIF(merged_clean!J:J, "*Snow Cover*")</f>
        <v>43</v>
      </c>
      <c r="C13">
        <f>ROUND(B13/B$21,2)*100</f>
        <v>40</v>
      </c>
    </row>
    <row r="14" spans="1:3" x14ac:dyDescent="0.15">
      <c r="A14" s="1" t="s">
        <v>2102</v>
      </c>
      <c r="B14">
        <f>COUNTIF(merged_clean!J:J, "*depth*")</f>
        <v>32</v>
      </c>
      <c r="C14">
        <f t="shared" ref="C14:C20" si="1">ROUND(B14/B$21,2)*100</f>
        <v>30</v>
      </c>
    </row>
    <row r="15" spans="1:3" x14ac:dyDescent="0.15">
      <c r="A15" s="1" t="s">
        <v>2590</v>
      </c>
      <c r="B15">
        <f>COUNTIF(merged_clean!J:J, "*Snow Water Equivalent*")</f>
        <v>19</v>
      </c>
      <c r="C15">
        <f t="shared" si="1"/>
        <v>18</v>
      </c>
    </row>
    <row r="16" spans="1:3" x14ac:dyDescent="0.15">
      <c r="A16" s="1" t="s">
        <v>2595</v>
      </c>
      <c r="B16">
        <f>COUNTIF(merged_clean!J:J, "*cloud*")</f>
        <v>6</v>
      </c>
      <c r="C16">
        <f t="shared" si="1"/>
        <v>6</v>
      </c>
    </row>
    <row r="17" spans="1:3" x14ac:dyDescent="0.15">
      <c r="A17" s="1" t="s">
        <v>2596</v>
      </c>
      <c r="B17">
        <f>COUNTIF(merged_clean!J:J, "*density*")</f>
        <v>3</v>
      </c>
      <c r="C17">
        <f t="shared" si="1"/>
        <v>3</v>
      </c>
    </row>
    <row r="18" spans="1:3" x14ac:dyDescent="0.15">
      <c r="A18" s="1" t="s">
        <v>2597</v>
      </c>
      <c r="B18">
        <f>COUNTIF(merged_clean!J:J, "*wet*")</f>
        <v>2</v>
      </c>
      <c r="C18">
        <f t="shared" si="1"/>
        <v>2</v>
      </c>
    </row>
    <row r="19" spans="1:3" x14ac:dyDescent="0.15">
      <c r="A19" s="1" t="s">
        <v>2598</v>
      </c>
      <c r="B19">
        <f>COUNTIF(merged_clean!J:J, "*regime*")</f>
        <v>1</v>
      </c>
      <c r="C19">
        <f t="shared" si="1"/>
        <v>1</v>
      </c>
    </row>
    <row r="20" spans="1:3" x14ac:dyDescent="0.15">
      <c r="A20" s="1" t="s">
        <v>2599</v>
      </c>
      <c r="B20">
        <f>COUNTIF(merged_clean!J:J, "*fall*")</f>
        <v>1</v>
      </c>
      <c r="C20">
        <f t="shared" si="1"/>
        <v>1</v>
      </c>
    </row>
    <row r="21" spans="1:3" x14ac:dyDescent="0.15">
      <c r="A21" s="1" t="s">
        <v>2591</v>
      </c>
      <c r="B21">
        <f>SUM(B13:B20)</f>
        <v>107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06A19-5ED3-7247-B78D-CDC46EE3833B}">
  <dimension ref="A1:O29"/>
  <sheetViews>
    <sheetView workbookViewId="0">
      <selection activeCell="H17" sqref="H17"/>
    </sheetView>
  </sheetViews>
  <sheetFormatPr baseColWidth="10" defaultRowHeight="13" x14ac:dyDescent="0.15"/>
  <cols>
    <col min="2" max="2" width="20.83203125" customWidth="1"/>
    <col min="3" max="3" width="10.83203125" customWidth="1"/>
  </cols>
  <sheetData>
    <row r="1" spans="1:15" x14ac:dyDescent="0.15">
      <c r="A1" s="1" t="s">
        <v>2497</v>
      </c>
      <c r="B1" s="1"/>
    </row>
    <row r="2" spans="1:15" x14ac:dyDescent="0.15">
      <c r="A2" s="1"/>
      <c r="B2" s="1"/>
      <c r="C2" s="3" t="s">
        <v>2506</v>
      </c>
      <c r="J2" s="1"/>
      <c r="K2" s="1"/>
      <c r="L2" s="1"/>
      <c r="M2" s="1"/>
      <c r="N2" s="1"/>
      <c r="O2" s="3"/>
    </row>
    <row r="3" spans="1:15" x14ac:dyDescent="0.15">
      <c r="A3" s="1"/>
      <c r="B3" s="4" t="s">
        <v>2514</v>
      </c>
      <c r="C3" s="4"/>
      <c r="D3" s="4"/>
      <c r="E3" s="4"/>
      <c r="F3" s="4" t="s">
        <v>2518</v>
      </c>
      <c r="G3" s="4"/>
      <c r="H3" s="4"/>
      <c r="I3" s="4"/>
      <c r="J3" s="5" t="s">
        <v>2545</v>
      </c>
      <c r="K3" s="5"/>
      <c r="L3" s="5"/>
      <c r="M3" s="5"/>
      <c r="N3" s="1"/>
      <c r="O3" s="3"/>
    </row>
    <row r="4" spans="1:15" x14ac:dyDescent="0.15">
      <c r="B4" s="3" t="s">
        <v>2101</v>
      </c>
      <c r="C4" s="3" t="s">
        <v>2510</v>
      </c>
      <c r="D4" s="3" t="s">
        <v>2106</v>
      </c>
      <c r="E4" s="3" t="s">
        <v>2511</v>
      </c>
      <c r="F4" s="3" t="s">
        <v>2515</v>
      </c>
      <c r="G4" s="3" t="s">
        <v>2099</v>
      </c>
      <c r="H4" s="3" t="s">
        <v>2516</v>
      </c>
      <c r="I4" s="3" t="s">
        <v>2517</v>
      </c>
      <c r="J4" s="1" t="s">
        <v>2515</v>
      </c>
      <c r="K4" s="1" t="s">
        <v>2099</v>
      </c>
      <c r="L4" s="1" t="s">
        <v>2516</v>
      </c>
      <c r="M4" s="1" t="s">
        <v>2517</v>
      </c>
      <c r="N4" s="1"/>
      <c r="O4" s="3"/>
    </row>
    <row r="5" spans="1:15" x14ac:dyDescent="0.15">
      <c r="A5" s="3" t="s">
        <v>2192</v>
      </c>
      <c r="B5" s="1" t="s">
        <v>2538</v>
      </c>
      <c r="C5" s="1" t="s">
        <v>2539</v>
      </c>
      <c r="D5" s="1" t="s">
        <v>2512</v>
      </c>
      <c r="E5" s="1" t="s">
        <v>2513</v>
      </c>
      <c r="F5" s="3">
        <v>28</v>
      </c>
      <c r="G5" s="3">
        <v>3</v>
      </c>
      <c r="H5" s="3">
        <v>3</v>
      </c>
      <c r="I5" s="3">
        <v>8</v>
      </c>
      <c r="J5" s="1">
        <f>ROUND((F5/107)*100,0)</f>
        <v>26</v>
      </c>
      <c r="K5" s="1">
        <f t="shared" ref="K5:M5" si="0">ROUND((G5/107)*100,0)</f>
        <v>3</v>
      </c>
      <c r="L5" s="1">
        <f t="shared" si="0"/>
        <v>3</v>
      </c>
      <c r="M5" s="1">
        <f t="shared" si="0"/>
        <v>7</v>
      </c>
      <c r="N5" s="1"/>
      <c r="O5" s="3"/>
    </row>
    <row r="6" spans="1:15" x14ac:dyDescent="0.15">
      <c r="A6" s="3" t="s">
        <v>2188</v>
      </c>
      <c r="B6" s="1" t="s">
        <v>2519</v>
      </c>
      <c r="C6" s="1" t="s">
        <v>2532</v>
      </c>
      <c r="D6" s="1" t="s">
        <v>2533</v>
      </c>
      <c r="E6" s="1" t="s">
        <v>2534</v>
      </c>
      <c r="F6" s="3">
        <v>2</v>
      </c>
      <c r="G6" s="3">
        <v>11</v>
      </c>
      <c r="H6" s="3">
        <v>17</v>
      </c>
      <c r="I6" s="3">
        <v>4</v>
      </c>
      <c r="J6" s="1">
        <f t="shared" ref="J6:J11" si="1">ROUND((F6/107)*100,0)</f>
        <v>2</v>
      </c>
      <c r="K6" s="1">
        <f t="shared" ref="K6:K11" si="2">ROUND((G6/107)*100,0)</f>
        <v>10</v>
      </c>
      <c r="L6" s="1">
        <f t="shared" ref="L6:L11" si="3">ROUND((H6/107)*100,0)</f>
        <v>16</v>
      </c>
      <c r="M6" s="1">
        <f t="shared" ref="M6:M11" si="4">ROUND((I6/107)*100,0)</f>
        <v>4</v>
      </c>
      <c r="N6" s="1"/>
      <c r="O6" s="3"/>
    </row>
    <row r="7" spans="1:15" x14ac:dyDescent="0.15">
      <c r="A7" s="3" t="s">
        <v>2498</v>
      </c>
      <c r="B7" s="1" t="s">
        <v>2520</v>
      </c>
      <c r="C7" s="1" t="s">
        <v>2535</v>
      </c>
      <c r="D7" s="1" t="s">
        <v>2536</v>
      </c>
      <c r="E7" s="1" t="s">
        <v>2537</v>
      </c>
      <c r="F7" s="3">
        <v>10</v>
      </c>
      <c r="G7" s="3">
        <v>2</v>
      </c>
      <c r="H7" s="3">
        <v>14</v>
      </c>
      <c r="I7" s="3">
        <v>1</v>
      </c>
      <c r="J7" s="1">
        <f t="shared" si="1"/>
        <v>9</v>
      </c>
      <c r="K7" s="1">
        <f t="shared" si="2"/>
        <v>2</v>
      </c>
      <c r="L7" s="1">
        <f t="shared" si="3"/>
        <v>13</v>
      </c>
      <c r="M7" s="1">
        <f t="shared" si="4"/>
        <v>1</v>
      </c>
      <c r="N7" s="1"/>
      <c r="O7" s="3"/>
    </row>
    <row r="8" spans="1:15" x14ac:dyDescent="0.15">
      <c r="A8" s="3" t="s">
        <v>2499</v>
      </c>
      <c r="B8" s="1" t="s">
        <v>2521</v>
      </c>
      <c r="C8" s="1" t="s">
        <v>2540</v>
      </c>
      <c r="D8" s="1" t="s">
        <v>2541</v>
      </c>
      <c r="E8" s="1" t="s">
        <v>2542</v>
      </c>
      <c r="F8" s="3">
        <v>5</v>
      </c>
      <c r="G8" s="3">
        <v>3</v>
      </c>
      <c r="H8" s="3">
        <v>12</v>
      </c>
      <c r="I8" s="3">
        <v>1</v>
      </c>
      <c r="J8" s="1">
        <f t="shared" si="1"/>
        <v>5</v>
      </c>
      <c r="K8" s="1">
        <f t="shared" si="2"/>
        <v>3</v>
      </c>
      <c r="L8" s="1">
        <f t="shared" si="3"/>
        <v>11</v>
      </c>
      <c r="M8" s="1">
        <f t="shared" si="4"/>
        <v>1</v>
      </c>
      <c r="N8" s="1"/>
      <c r="O8" s="3"/>
    </row>
    <row r="9" spans="1:15" x14ac:dyDescent="0.15">
      <c r="A9" s="3" t="s">
        <v>2500</v>
      </c>
      <c r="B9" s="1" t="s">
        <v>2522</v>
      </c>
      <c r="C9" s="1" t="s">
        <v>2523</v>
      </c>
      <c r="D9" s="1" t="s">
        <v>2552</v>
      </c>
      <c r="E9" s="1" t="s">
        <v>2553</v>
      </c>
      <c r="F9" s="3">
        <v>1</v>
      </c>
      <c r="G9" s="3">
        <v>2</v>
      </c>
      <c r="H9" s="3">
        <v>4</v>
      </c>
      <c r="I9" s="3">
        <v>1</v>
      </c>
      <c r="J9" s="1">
        <f t="shared" si="1"/>
        <v>1</v>
      </c>
      <c r="K9" s="1">
        <f t="shared" si="2"/>
        <v>2</v>
      </c>
      <c r="L9" s="1">
        <f t="shared" si="3"/>
        <v>4</v>
      </c>
      <c r="M9" s="1">
        <f t="shared" si="4"/>
        <v>1</v>
      </c>
      <c r="N9" s="1"/>
      <c r="O9" s="3"/>
    </row>
    <row r="10" spans="1:15" x14ac:dyDescent="0.15">
      <c r="A10" s="3" t="s">
        <v>2501</v>
      </c>
      <c r="B10" s="1" t="s">
        <v>2524</v>
      </c>
      <c r="C10" s="1" t="s">
        <v>2143</v>
      </c>
      <c r="D10" s="1" t="s">
        <v>2543</v>
      </c>
      <c r="E10" s="1" t="s">
        <v>2544</v>
      </c>
      <c r="F10" s="3">
        <v>4</v>
      </c>
      <c r="G10" s="3">
        <v>0</v>
      </c>
      <c r="H10" s="3">
        <v>8</v>
      </c>
      <c r="I10" s="3">
        <v>2</v>
      </c>
      <c r="J10" s="1">
        <f t="shared" si="1"/>
        <v>4</v>
      </c>
      <c r="K10" s="1">
        <f t="shared" si="2"/>
        <v>0</v>
      </c>
      <c r="L10" s="1">
        <f t="shared" si="3"/>
        <v>7</v>
      </c>
      <c r="M10" s="1">
        <f t="shared" si="4"/>
        <v>2</v>
      </c>
      <c r="N10" s="1"/>
      <c r="O10" s="3"/>
    </row>
    <row r="11" spans="1:15" x14ac:dyDescent="0.15">
      <c r="A11" s="3" t="s">
        <v>2502</v>
      </c>
      <c r="B11" s="1" t="s">
        <v>2525</v>
      </c>
      <c r="C11" s="1" t="s">
        <v>2546</v>
      </c>
      <c r="D11" s="1" t="s">
        <v>2546</v>
      </c>
      <c r="E11" s="1" t="s">
        <v>2143</v>
      </c>
      <c r="F11" s="3">
        <v>3</v>
      </c>
      <c r="G11" s="3">
        <v>1</v>
      </c>
      <c r="H11" s="3">
        <v>2</v>
      </c>
      <c r="I11" s="3">
        <v>0</v>
      </c>
      <c r="J11" s="1">
        <f t="shared" si="1"/>
        <v>3</v>
      </c>
      <c r="K11" s="1">
        <f t="shared" si="2"/>
        <v>1</v>
      </c>
      <c r="L11" s="1">
        <f t="shared" si="3"/>
        <v>2</v>
      </c>
      <c r="M11" s="1">
        <f t="shared" si="4"/>
        <v>0</v>
      </c>
      <c r="N11" s="1"/>
      <c r="O11" s="3"/>
    </row>
    <row r="12" spans="1:15" x14ac:dyDescent="0.15">
      <c r="A12" s="3" t="s">
        <v>2503</v>
      </c>
      <c r="B12" s="1" t="s">
        <v>2526</v>
      </c>
      <c r="C12" s="1" t="s">
        <v>2527</v>
      </c>
      <c r="D12" s="1" t="s">
        <v>2528</v>
      </c>
      <c r="E12" s="1" t="s">
        <v>2529</v>
      </c>
      <c r="F12" s="3">
        <v>1</v>
      </c>
      <c r="G12" s="3">
        <v>1</v>
      </c>
      <c r="H12" s="3">
        <v>3</v>
      </c>
      <c r="I12" s="3">
        <v>1</v>
      </c>
      <c r="J12" s="1">
        <f t="shared" ref="J12:J14" si="5">ROUND((F12/107)*100,0)</f>
        <v>1</v>
      </c>
      <c r="K12" s="1">
        <f t="shared" ref="K12:K14" si="6">ROUND((G12/107)*100,0)</f>
        <v>1</v>
      </c>
      <c r="L12" s="1">
        <f t="shared" ref="L12:L14" si="7">ROUND((H12/107)*100,0)</f>
        <v>3</v>
      </c>
      <c r="M12" s="1">
        <f t="shared" ref="M12:M14" si="8">ROUND((I12/107)*100,0)</f>
        <v>1</v>
      </c>
      <c r="N12" s="1"/>
      <c r="O12" s="3"/>
    </row>
    <row r="13" spans="1:15" x14ac:dyDescent="0.15">
      <c r="A13" s="3" t="s">
        <v>2504</v>
      </c>
      <c r="B13" s="1" t="s">
        <v>2143</v>
      </c>
      <c r="C13" s="1" t="s">
        <v>2530</v>
      </c>
      <c r="D13" s="1" t="s">
        <v>2143</v>
      </c>
      <c r="E13" s="1" t="s">
        <v>2143</v>
      </c>
      <c r="F13" s="3">
        <v>0</v>
      </c>
      <c r="G13" s="3">
        <v>1</v>
      </c>
      <c r="H13" s="3">
        <v>0</v>
      </c>
      <c r="I13" s="3">
        <v>0</v>
      </c>
      <c r="J13" s="1">
        <f t="shared" si="5"/>
        <v>0</v>
      </c>
      <c r="K13" s="1">
        <f t="shared" si="6"/>
        <v>1</v>
      </c>
      <c r="L13" s="1">
        <f t="shared" si="7"/>
        <v>0</v>
      </c>
      <c r="M13" s="1">
        <f t="shared" si="8"/>
        <v>0</v>
      </c>
      <c r="N13" s="1"/>
      <c r="O13" s="3"/>
    </row>
    <row r="14" spans="1:15" x14ac:dyDescent="0.15">
      <c r="A14" s="3" t="s">
        <v>2505</v>
      </c>
      <c r="B14" s="1" t="s">
        <v>2143</v>
      </c>
      <c r="C14" s="1" t="s">
        <v>2531</v>
      </c>
      <c r="D14" s="1" t="s">
        <v>2143</v>
      </c>
      <c r="E14" s="1" t="s">
        <v>2143</v>
      </c>
      <c r="F14" s="3">
        <v>0</v>
      </c>
      <c r="G14" s="3">
        <v>1</v>
      </c>
      <c r="H14" s="3">
        <v>0</v>
      </c>
      <c r="I14" s="3">
        <v>0</v>
      </c>
      <c r="J14" s="1">
        <f t="shared" si="5"/>
        <v>0</v>
      </c>
      <c r="K14" s="1">
        <f t="shared" si="6"/>
        <v>1</v>
      </c>
      <c r="L14" s="1">
        <f t="shared" si="7"/>
        <v>0</v>
      </c>
      <c r="M14" s="1">
        <f t="shared" si="8"/>
        <v>0</v>
      </c>
      <c r="N14" s="1"/>
      <c r="O14" s="3"/>
    </row>
    <row r="15" spans="1:15" x14ac:dyDescent="0.15">
      <c r="F15" s="3"/>
      <c r="G15" s="3"/>
      <c r="H15" s="3"/>
      <c r="I15" s="3"/>
      <c r="J15" s="1"/>
      <c r="K15" s="1"/>
      <c r="L15" s="1"/>
      <c r="M15" s="1"/>
      <c r="N15" s="1"/>
      <c r="O15" s="3"/>
    </row>
    <row r="16" spans="1:15" x14ac:dyDescent="0.15">
      <c r="F16" s="3"/>
      <c r="G16" s="3"/>
      <c r="H16" s="3"/>
      <c r="I16" s="3"/>
      <c r="J16" s="1"/>
      <c r="K16" s="1"/>
      <c r="L16" s="1"/>
      <c r="M16" s="1"/>
      <c r="N16" s="1"/>
      <c r="O16" s="3"/>
    </row>
    <row r="17" spans="1:14" x14ac:dyDescent="0.15">
      <c r="C17" s="3" t="s">
        <v>2146</v>
      </c>
      <c r="J17" s="1"/>
      <c r="K17" s="1"/>
      <c r="L17" s="1"/>
      <c r="M17" s="1"/>
      <c r="N17" s="1"/>
    </row>
    <row r="18" spans="1:14" x14ac:dyDescent="0.15">
      <c r="B18" s="4" t="s">
        <v>2514</v>
      </c>
      <c r="C18" s="4"/>
      <c r="D18" s="4"/>
      <c r="E18" s="4"/>
      <c r="F18" s="4" t="s">
        <v>2518</v>
      </c>
      <c r="G18" s="4"/>
      <c r="H18" s="4"/>
      <c r="I18" s="4"/>
      <c r="J18" s="1"/>
      <c r="K18" s="1"/>
      <c r="L18" s="1"/>
      <c r="M18" s="1"/>
      <c r="N18" s="1"/>
    </row>
    <row r="19" spans="1:14" x14ac:dyDescent="0.15">
      <c r="B19" s="3" t="s">
        <v>2101</v>
      </c>
      <c r="C19" s="3" t="s">
        <v>2510</v>
      </c>
      <c r="D19" s="3" t="s">
        <v>2106</v>
      </c>
      <c r="E19" s="3" t="s">
        <v>2511</v>
      </c>
      <c r="F19" s="3" t="s">
        <v>2515</v>
      </c>
      <c r="G19" s="3" t="s">
        <v>2099</v>
      </c>
      <c r="H19" s="3" t="s">
        <v>2516</v>
      </c>
      <c r="I19" s="3" t="s">
        <v>2517</v>
      </c>
      <c r="J19" s="1"/>
      <c r="K19" s="1"/>
      <c r="L19" s="1"/>
      <c r="M19" s="1"/>
      <c r="N19" s="1"/>
    </row>
    <row r="20" spans="1:14" x14ac:dyDescent="0.15">
      <c r="A20" s="3" t="s">
        <v>2503</v>
      </c>
      <c r="B20" s="1" t="s">
        <v>2547</v>
      </c>
      <c r="C20" t="s">
        <v>2548</v>
      </c>
      <c r="D20" s="1" t="s">
        <v>2549</v>
      </c>
      <c r="E20" s="1" t="s">
        <v>2550</v>
      </c>
      <c r="F20">
        <v>6</v>
      </c>
      <c r="G20">
        <v>7</v>
      </c>
      <c r="H20">
        <v>19</v>
      </c>
      <c r="I20">
        <v>3</v>
      </c>
      <c r="J20" s="1"/>
      <c r="K20" s="1"/>
      <c r="L20" s="1"/>
      <c r="M20" s="1"/>
      <c r="N20" s="1"/>
    </row>
    <row r="21" spans="1:14" x14ac:dyDescent="0.15">
      <c r="A21" s="3" t="s">
        <v>2192</v>
      </c>
      <c r="B21" s="1" t="s">
        <v>2551</v>
      </c>
      <c r="C21" s="1" t="s">
        <v>2143</v>
      </c>
      <c r="D21" s="1" t="s">
        <v>2554</v>
      </c>
      <c r="E21" s="1" t="s">
        <v>2555</v>
      </c>
      <c r="F21">
        <v>18</v>
      </c>
      <c r="G21">
        <v>0</v>
      </c>
      <c r="H21">
        <v>1</v>
      </c>
      <c r="I21">
        <v>4</v>
      </c>
      <c r="J21" s="1"/>
      <c r="K21" s="1"/>
      <c r="L21" s="1"/>
      <c r="M21" s="1"/>
      <c r="N21" s="1"/>
    </row>
    <row r="22" spans="1:14" x14ac:dyDescent="0.15">
      <c r="A22" s="3" t="s">
        <v>2500</v>
      </c>
      <c r="B22" s="1" t="s">
        <v>2143</v>
      </c>
      <c r="C22" s="1" t="s">
        <v>2523</v>
      </c>
      <c r="D22" s="1" t="s">
        <v>2556</v>
      </c>
      <c r="E22" s="1" t="s">
        <v>2557</v>
      </c>
      <c r="F22">
        <v>0</v>
      </c>
      <c r="G22">
        <v>2</v>
      </c>
      <c r="H22">
        <v>1</v>
      </c>
      <c r="I22">
        <v>3</v>
      </c>
    </row>
    <row r="23" spans="1:14" x14ac:dyDescent="0.15">
      <c r="A23" s="3" t="s">
        <v>2558</v>
      </c>
      <c r="B23" s="1" t="s">
        <v>2559</v>
      </c>
      <c r="C23" s="1" t="s">
        <v>2560</v>
      </c>
      <c r="D23" s="1" t="s">
        <v>2561</v>
      </c>
      <c r="E23" s="1" t="s">
        <v>2143</v>
      </c>
      <c r="F23">
        <v>3</v>
      </c>
      <c r="G23">
        <v>2</v>
      </c>
      <c r="H23">
        <v>5</v>
      </c>
      <c r="I23">
        <v>0</v>
      </c>
    </row>
    <row r="24" spans="1:14" x14ac:dyDescent="0.15">
      <c r="A24" s="3" t="s">
        <v>2507</v>
      </c>
      <c r="B24" s="1" t="s">
        <v>2562</v>
      </c>
      <c r="C24" s="1" t="s">
        <v>2143</v>
      </c>
      <c r="D24" s="1" t="s">
        <v>2563</v>
      </c>
      <c r="E24" s="1" t="s">
        <v>2564</v>
      </c>
      <c r="F24">
        <v>3</v>
      </c>
      <c r="G24">
        <v>0</v>
      </c>
      <c r="H24">
        <v>3</v>
      </c>
      <c r="I24">
        <v>3</v>
      </c>
    </row>
    <row r="25" spans="1:14" x14ac:dyDescent="0.15">
      <c r="A25" s="3" t="s">
        <v>2508</v>
      </c>
      <c r="B25" s="1" t="s">
        <v>2143</v>
      </c>
      <c r="C25" s="1" t="s">
        <v>2143</v>
      </c>
      <c r="D25" s="1" t="s">
        <v>2565</v>
      </c>
      <c r="E25" s="1" t="s">
        <v>2143</v>
      </c>
      <c r="F25">
        <v>0</v>
      </c>
      <c r="G25">
        <v>0</v>
      </c>
      <c r="H25">
        <v>3</v>
      </c>
      <c r="I25">
        <v>0</v>
      </c>
    </row>
    <row r="26" spans="1:14" x14ac:dyDescent="0.15">
      <c r="A26" s="3" t="s">
        <v>2509</v>
      </c>
      <c r="B26" s="1" t="s">
        <v>2566</v>
      </c>
      <c r="C26" s="1" t="s">
        <v>2143</v>
      </c>
      <c r="D26" s="1" t="s">
        <v>2143</v>
      </c>
      <c r="E26" s="1" t="s">
        <v>2143</v>
      </c>
      <c r="F26">
        <v>1</v>
      </c>
      <c r="G26">
        <v>0</v>
      </c>
      <c r="H26">
        <v>0</v>
      </c>
      <c r="I26">
        <v>0</v>
      </c>
    </row>
    <row r="27" spans="1:14" x14ac:dyDescent="0.15">
      <c r="A27" s="3"/>
      <c r="B27" s="1"/>
    </row>
    <row r="28" spans="1:14" x14ac:dyDescent="0.15">
      <c r="A28" s="1"/>
      <c r="B28" s="1"/>
    </row>
    <row r="29" spans="1:14" x14ac:dyDescent="0.15">
      <c r="A29" s="1"/>
      <c r="B29" s="1"/>
    </row>
  </sheetData>
  <mergeCells count="5">
    <mergeCell ref="B3:E3"/>
    <mergeCell ref="F3:I3"/>
    <mergeCell ref="J3:M3"/>
    <mergeCell ref="B18:E18"/>
    <mergeCell ref="F18:I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initial_search</vt:lpstr>
      <vt:lpstr>snowball</vt:lpstr>
      <vt:lpstr>merged_clean</vt:lpstr>
      <vt:lpstr>Figure 1</vt:lpstr>
      <vt:lpstr>Figure 2</vt:lpstr>
      <vt:lpstr>Figure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Catherine Breen</cp:lastModifiedBy>
  <dcterms:created xsi:type="dcterms:W3CDTF">2026-06-02T01:36:27Z</dcterms:created>
  <dcterms:modified xsi:type="dcterms:W3CDTF">2026-09-18T12:02:53Z</dcterms:modified>
</cp:coreProperties>
</file>